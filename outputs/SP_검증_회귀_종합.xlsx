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358d9894424b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0f0df6f069d402e"/>
    <x:sheet xmlns:r="http://schemas.openxmlformats.org/officeDocument/2006/relationships" name="Implementation" sheetId="2" r:id="R76bd43a7a541404e"/>
    <x:sheet xmlns:r="http://schemas.openxmlformats.org/officeDocument/2006/relationships" name="Expectations" sheetId="3" r:id="R03906ad4be0f402c"/>
    <x:sheet xmlns:r="http://schemas.openxmlformats.org/officeDocument/2006/relationships" name="Matrix" sheetId="4" r:id="R6b5a23b7e8024930"/>
    <x:sheet xmlns:r="http://schemas.openxmlformats.org/officeDocument/2006/relationships" name="Details" sheetId="5" r:id="R596afa209dd74c8a"/>
    <x:sheet xmlns:r="http://schemas.openxmlformats.org/officeDocument/2006/relationships" name="RunInfo" sheetId="6" r:id="Rd0dde1f6ee0e49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11">
    <x:font>
      <x:sz val="11"/>
      <x:name val="Carlito"/>
    </x:font>
    <x:font>
      <x:b/>
      <x:sz val="16"/>
      <x:color rgb="FFFFFFFF"/>
      <x:name val="Malgun Gothic"/>
    </x:font>
    <x:font>
      <x:sz val="10"/>
      <x:color rgb="FF1F4E78"/>
      <x:name val="Malgun Gothic"/>
    </x:font>
    <x:font>
      <x:b/>
      <x:sz val="10"/>
      <x:color rgb="FFFFFFFF"/>
      <x:name val="Malgun Gothic"/>
    </x:font>
    <x:font>
      <x:sz val="10"/>
      <x:color rgb="FF0F172A"/>
      <x:name val="Malgun Gothic"/>
    </x:font>
    <x:font>
      <x:b/>
      <x:sz val="10"/>
      <x:color rgb="FF15803D"/>
      <x:name val="Malgun Gothic"/>
    </x:font>
    <x:font>
      <x:b/>
      <x:sz val="10"/>
      <x:color rgb="FFB45309"/>
      <x:name val="Malgun Gothic"/>
    </x:font>
    <x:font>
      <x:b/>
      <x:sz val="10"/>
      <x:color rgb="FFB91C1C"/>
      <x:name val="Malgun Gothic"/>
    </x:font>
    <x:font>
      <x:b/>
      <x:sz val="11"/>
      <x:color rgb="FFFFFFFF"/>
      <x:name val="Malgun Gothic"/>
    </x:font>
    <x:font>
      <x:sz val="10"/>
      <x:name val="Malgun Gothic"/>
    </x:font>
    <x:font>
      <x:b/>
      <x:sz val="10"/>
      <x:color rgb="FF1F4E78"/>
      <x:name val="Malgun Gothic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4" fillId="8" borderId="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3" fillId="2" borderId="0" xfId="0" applyNumberFormat="1" applyFont="1" applyFill="1" applyBorder="1"/>
    <x:xf numFmtId="0" fontId="10" fillId="0" borderId="1" xfId="0" applyNumberFormat="1" applyFont="1" applyFill="1" applyBorder="1" applyAlignment="1">
      <x:alignment vertical="center" wrapText="1"/>
    </x:xf>
    <x:xf numFmtId="0" fontId="10" fillId="0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0" fontId="10" fillId="8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9"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color rgb="FF64748B"/>
      </x:font>
      <x:fill>
        <x:patternFill patternType="solid">
          <x:bgColor rgb="FFF3F4F6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color rgb="FF64748B"/>
      </x:font>
      <x:fill>
        <x:patternFill patternType="solid">
          <x:bgColor rgb="FFF3F4F6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color rgb="FF64748B"/>
      </x:font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57156c4f4c42a6" /><Relationship Type="http://schemas.openxmlformats.org/officeDocument/2006/relationships/theme" Target="/xl/theme/theme1.xml" Id="R44833f586b314f84" /><Relationship Type="http://schemas.openxmlformats.org/officeDocument/2006/relationships/sharedStrings" Target="/xl/sharedStrings.xml" Id="R51d6512513e54057" /><Relationship Type="http://schemas.openxmlformats.org/officeDocument/2006/relationships/worksheet" Target="/xl/worksheets/sheet1.xml" Id="Rb0f0df6f069d402e" /><Relationship Type="http://schemas.openxmlformats.org/officeDocument/2006/relationships/worksheet" Target="/xl/worksheets/sheet2.xml" Id="R76bd43a7a541404e" /><Relationship Type="http://schemas.openxmlformats.org/officeDocument/2006/relationships/worksheet" Target="/xl/worksheets/sheet3.xml" Id="R03906ad4be0f402c" /><Relationship Type="http://schemas.openxmlformats.org/officeDocument/2006/relationships/worksheet" Target="/xl/worksheets/sheet4.xml" Id="R6b5a23b7e8024930" /><Relationship Type="http://schemas.openxmlformats.org/officeDocument/2006/relationships/worksheet" Target="/xl/worksheets/sheet5.xml" Id="R596afa209dd74c8a" /><Relationship Type="http://schemas.openxmlformats.org/officeDocument/2006/relationships/worksheet" Target="/xl/worksheets/sheet6.xml" Id="Rd0dde1f6ee0e49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12" hidden="0" customWidth="1"/>
    <x:col min="3" max="3" width="4" hidden="0" customWidth="1"/>
    <x:col min="4" max="4" width="24" hidden="0" customWidth="1"/>
    <x:col min="5" max="5" width="12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3" t="str">
        <x:v>SP 검증 회귀 종합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O/X는 문서의 합격·불합격이 아니라 기대판정과 실제판정의 일치 여부입니다. 구현 상태와 실행 결과를 분리해 관리합니다.</x:v>
      </x:c>
      <x:c r="B2" s="7"/>
      <x:c r="C2" s="7"/>
      <x:c r="D2" s="7"/>
      <x:c r="E2" s="7"/>
      <x:c r="F2" s="7"/>
      <x:c r="G2" s="7"/>
      <x:c r="H2" s="7"/>
    </x:row>
    <x:row r="4" ht="32" customHeight="1">
      <x:c r="A4" s="13" t="str">
        <x:v>구현 감사</x:v>
      </x:c>
      <x:c r="B4" s="13" t="str">
        <x:v>건수</x:v>
      </x:c>
      <x:c r="C4" s="26"/>
      <x:c r="D4" s="13" t="str">
        <x:v>회귀검증 결과</x:v>
      </x:c>
      <x:c r="E4" s="13" t="str">
        <x:v>건수</x:v>
      </x:c>
      <x:c r="F4" s="26"/>
      <x:c r="G4" s="26"/>
      <x:c r="H4" s="26"/>
    </x:row>
    <x:row r="5">
      <x:c r="A5" s="19" t="str">
        <x:v>구현</x:v>
      </x:c>
      <x:c r="B5" s="17" t="n">
        <x:f>COUNTIF(Implementation!$D$5:$D$100,"구현")</x:f>
        <x:v>14</x:v>
      </x:c>
      <x:c r="C5" s="26"/>
      <x:c r="D5" s="17" t="str">
        <x:v>O</x:v>
      </x:c>
      <x:c r="E5" s="17" t="n">
        <x:f>COUNTIF(Details!$F$5:$F$1004,"O")</x:f>
        <x:v>0</x:v>
      </x:c>
      <x:c r="F5" s="26"/>
      <x:c r="G5" s="26"/>
      <x:c r="H5" s="26"/>
    </x:row>
    <x:row r="6">
      <x:c r="A6" s="21" t="str">
        <x:v>부분 구현</x:v>
      </x:c>
      <x:c r="B6" s="17" t="n">
        <x:f>COUNTIF(Implementation!$D$5:$D$100,"부분 구현")</x:f>
        <x:v>10</x:v>
      </x:c>
      <x:c r="C6" s="26"/>
      <x:c r="D6" s="17" t="str">
        <x:v>X</x:v>
      </x:c>
      <x:c r="E6" s="17" t="n">
        <x:f>COUNTIF(Details!$F$5:$F$1004,"X")</x:f>
        <x:v>0</x:v>
      </x:c>
      <x:c r="F6" s="26"/>
      <x:c r="G6" s="26"/>
      <x:c r="H6" s="26"/>
    </x:row>
    <x:row r="7">
      <x:c r="A7" s="23" t="str">
        <x:v>미구현</x:v>
      </x:c>
      <x:c r="B7" s="17" t="n">
        <x:f>COUNTIF(Implementation!$D$5:$D$100,"미구현")</x:f>
        <x:v>5</x:v>
      </x:c>
      <x:c r="C7" s="26"/>
      <x:c r="D7" s="17" t="str">
        <x:v>미실행</x:v>
      </x:c>
      <x:c r="E7" s="17" t="n">
        <x:f>COUNTIF(Details!$F$5:$F$1004,"미실행")</x:f>
        <x:v>0</x:v>
      </x:c>
      <x:c r="F7" s="26"/>
      <x:c r="G7" s="26"/>
      <x:c r="H7" s="26"/>
    </x:row>
    <x:row r="8">
      <x:c r="A8" s="17" t="str">
        <x:v>전체</x:v>
      </x:c>
      <x:c r="B8" s="17" t="n">
        <x:f>SUM(B5:B7)</x:f>
        <x:v>29</x:v>
      </x:c>
      <x:c r="C8" s="26"/>
      <x:c r="D8" s="17" t="str">
        <x:v>전체 상세결과</x:v>
      </x:c>
      <x:c r="E8" s="17" t="n">
        <x:f>SUM(E5:E7)</x:f>
        <x:v>0</x:v>
      </x:c>
      <x:c r="F8" s="26"/>
      <x:c r="G8" s="26"/>
      <x:c r="H8" s="26"/>
    </x:row>
    <x:row r="9">
      <x:c r="A9" s="26"/>
      <x:c r="B9" s="26"/>
      <x:c r="C9" s="26"/>
      <x:c r="D9" s="26"/>
      <x:c r="E9" s="26"/>
      <x:c r="F9" s="26"/>
      <x:c r="G9" s="26"/>
      <x:c r="H9" s="26"/>
    </x:row>
    <x:row r="10">
      <x:c r="A10" s="26"/>
      <x:c r="B10" s="26"/>
      <x:c r="C10" s="26"/>
      <x:c r="D10" s="26"/>
      <x:c r="E10" s="26"/>
      <x:c r="F10" s="26"/>
      <x:c r="G10" s="26"/>
      <x:c r="H10" s="26"/>
    </x:row>
    <x:row r="11">
      <x:c r="A11" s="27" t="str">
        <x:v>운영 순서</x:v>
      </x:c>
      <x:c r="B11" s="27"/>
      <x:c r="C11" s="27"/>
      <x:c r="D11" s="27"/>
      <x:c r="E11" s="27"/>
      <x:c r="F11" s="27"/>
      <x:c r="G11" s="27"/>
      <x:c r="H11" s="27"/>
    </x:row>
    <x:row r="12">
      <x:c r="A12" s="25" t="str">
        <x:v>1. 구현현황에서 코드상 지원 범위를 확인합니다.</x:v>
      </x:c>
      <x:c r="B12" s="25"/>
      <x:c r="C12" s="25"/>
      <x:c r="D12" s="25"/>
      <x:c r="E12" s="25"/>
      <x:c r="F12" s="25"/>
      <x:c r="G12" s="25"/>
      <x:c r="H12" s="25"/>
    </x:row>
    <x:row r="13">
      <x:c r="A13" s="25" t="str">
        <x:v>2. 정답정의에 문서별 기대판정을 입력합니다.</x:v>
      </x:c>
      <x:c r="B13" s="25"/>
      <x:c r="C13" s="25"/>
      <x:c r="D13" s="25"/>
      <x:c r="E13" s="25"/>
      <x:c r="F13" s="25"/>
      <x:c r="G13" s="25"/>
      <x:c r="H13" s="25"/>
    </x:row>
    <x:row r="14">
      <x:c r="A14" s="25" t="str">
        <x:v>3. 검증 실행 결과를 로직별상세결과 형식으로 적재합니다.</x:v>
      </x:c>
      <x:c r="B14" s="25"/>
      <x:c r="C14" s="25"/>
      <x:c r="D14" s="25"/>
      <x:c r="E14" s="25"/>
      <x:c r="F14" s="25"/>
      <x:c r="G14" s="25"/>
      <x:c r="H14" s="25"/>
    </x:row>
    <x:row r="15">
      <x:c r="A15" s="25" t="str">
        <x:v>4. 문서별매트릭스에서 O/X/미실행을 확인하고 X의 판정사유와 근거를 추적합니다.</x:v>
      </x:c>
      <x:c r="B15" s="25"/>
      <x:c r="C15" s="25"/>
      <x:c r="D15" s="25"/>
      <x:c r="E15" s="25"/>
      <x:c r="F15" s="25"/>
      <x:c r="G15" s="25"/>
      <x:c r="H15" s="25"/>
    </x:row>
  </x:sheetData>
  <x:mergeCells>
    <x:mergeCell ref="A1:H1"/>
    <x:mergeCell ref="A2:H2"/>
    <x:mergeCell ref="A11:H11"/>
    <x:mergeCell ref="A12:H12"/>
    <x:mergeCell ref="A13:H13"/>
    <x:mergeCell ref="A14:H14"/>
    <x:mergeCell ref="A15:H15"/>
  </x:mergeCells>
  <x:conditionalFormatting sqref="D5:D7">
    <x:cfRule type="cellIs" dxfId="0" priority="1" operator="equal">
      <x:formula>"O"</x:formula>
    </x:cfRule>
    <x:cfRule type="cellIs" dxfId="1" priority="2" operator="equal">
      <x:formula>"X"</x:formula>
    </x:cfRule>
    <x:cfRule type="containsText" dxfId="2" priority="3" operator="containsText" text="미실행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0" hidden="0" customWidth="1"/>
    <x:col min="2" max="2" width="25" hidden="0" customWidth="1"/>
    <x:col min="3" max="3" width="62" hidden="0" customWidth="1"/>
    <x:col min="4" max="4" width="14" hidden="0" customWidth="1"/>
    <x:col min="5" max="5" width="28" hidden="0" customWidth="1"/>
    <x:col min="6" max="6" width="48" hidden="0" customWidth="1"/>
    <x:col min="7" max="7" width="64" hidden="0" customWidth="1"/>
  </x:cols>
  <x:sheetData>
    <x:row r="1" ht="34" customHeight="1">
      <x:c r="A1" s="3" t="str">
        <x:v>A/B/C 검증 로직 구현 현황</x:v>
      </x:c>
      <x:c r="B1" s="3"/>
      <x:c r="C1" s="3"/>
      <x:c r="D1" s="3"/>
      <x:c r="E1" s="3"/>
      <x:c r="F1" s="3"/>
      <x:c r="G1" s="3"/>
    </x:row>
    <x:row r="2" ht="34" customHeight="1">
      <x:c r="A2" s="7" t="str">
        <x:v>코드 감사 기준일 2026-09-06. 부분 구현은 추출 또는 하위 조건만 존재하고 요구사항 전체 판정은 아직 완결되지 않은 상태입니다.</x:v>
      </x:c>
      <x:c r="B2" s="7"/>
      <x:c r="C2" s="7"/>
      <x:c r="D2" s="7"/>
      <x:c r="E2" s="7"/>
      <x:c r="F2" s="7"/>
      <x:c r="G2" s="7"/>
    </x:row>
    <x:row r="4" ht="32" customHeight="1">
      <x:c r="A4" s="13" t="str">
        <x:v>로직 ID</x:v>
      </x:c>
      <x:c r="B4" s="13" t="str">
        <x:v>구분</x:v>
      </x:c>
      <x:c r="C4" s="13" t="str">
        <x:v>검증 요구사항</x:v>
      </x:c>
      <x:c r="D4" s="13" t="str">
        <x:v>구현 상태</x:v>
      </x:c>
      <x:c r="E4" s="13" t="str">
        <x:v>현재 실행 주체</x:v>
      </x:c>
      <x:c r="F4" s="13" t="str">
        <x:v>코드 근거</x:v>
      </x:c>
      <x:c r="G4" s="13" t="str">
        <x:v>감사 메모</x:v>
      </x:c>
    </x:row>
    <x:row r="5" ht="52" customHeight="1">
      <x:c r="A5" s="29" t="str">
        <x:v>A.1</x:v>
      </x:c>
      <x:c r="B5" s="17" t="str">
        <x:v>A. 구조적 정합성</x:v>
      </x:c>
      <x:c r="C5" s="17" t="str">
        <x:v>최신 허가사항이 반영된 SP 문서 버전(4.3)과 회사 제출 SP 문서 버전(4.2)을 비교한다.</x:v>
      </x:c>
      <x:c r="D5" s="32" t="str">
        <x:v>부분 구현</x:v>
      </x:c>
      <x:c r="E5" s="17" t="str">
        <x:v>Streamlit 버전 게이트</x:v>
      </x:c>
      <x:c r="F5" s="17" t="str">
        <x:v>sp_app.py::_version_gate
sp_app.py::TARGET_REFERENCE_VERSION</x:v>
      </x:c>
      <x:c r="G5" s="17" t="str">
        <x:v>제출 문서 버전 추출과 표시 비교는 있으나 기준이 4.3 허가본 연계가 아니라 4.0 상수이며 제품별 예외가 존재한다.</x:v>
      </x:c>
    </x:row>
    <x:row r="6" ht="52" customHeight="1">
      <x:c r="A6" s="29" t="str">
        <x:v>A.2</x:v>
      </x:c>
      <x:c r="B6" s="17" t="str">
        <x:v>A. 구조적 정합성</x:v>
      </x:c>
      <x:c r="C6" s="17" t="str">
        <x:v>학습된 SP 포맷과 제출 문서의 전체적인 포맷 일치도를 검토한다.</x:v>
      </x:c>
      <x:c r="D6" s="34" t="str">
        <x:v>미구현</x:v>
      </x:c>
      <x:c r="E6" s="17" t="str">
        <x:v>없음</x:v>
      </x:c>
      <x:c r="F6" s="17" t="str">
        <x:v>sp_pdf_judger/domain_details/overall.md::문서 구조와 추적성</x:v>
      </x:c>
      <x:c r="G6" s="17" t="str">
        <x:v>지침 문구는 있으나 레이아웃 특징을 산출하고 기준본과 유사도를 판정하는 실행기가 없다.</x:v>
      </x:c>
    </x:row>
    <x:row r="7" ht="52" customHeight="1">
      <x:c r="A7" s="29" t="str">
        <x:v>A.3</x:v>
      </x:c>
      <x:c r="B7" s="17" t="str">
        <x:v>A. 구조적 정합성</x:v>
      </x:c>
      <x:c r="C7" s="17" t="str">
        <x:v>문서 버전 아래 날짜를 인식하여 기준 문서 날짜와 일치하는지 확인한다.</x:v>
      </x:c>
      <x:c r="D7" s="32" t="str">
        <x:v>부분 구현</x:v>
      </x:c>
      <x:c r="E7" s="17" t="str">
        <x:v>JSON 추출기</x:v>
      </x:c>
      <x:c r="F7" s="17" t="str">
        <x:v>json추출.py::version_date 추출
sp_app.py::_version_gate</x:v>
      </x:c>
      <x:c r="G7" s="17" t="str">
        <x:v>version_date는 추출하지만 기준 날짜와 비교해 별도 판정하는 로직은 없다.</x:v>
      </x:c>
    </x:row>
    <x:row r="8" ht="52" customHeight="1">
      <x:c r="A8" s="29" t="str">
        <x:v>A.4</x:v>
      </x:c>
      <x:c r="B8" s="17" t="str">
        <x:v>A. 구조적 정합성</x:v>
      </x:c>
      <x:c r="C8" s="17" t="str">
        <x:v>페이지 번호와 목차 번호의 순서, 각 시험과 표의 연결 관계를 확인한다.</x:v>
      </x:c>
      <x:c r="D8" s="32" t="str">
        <x:v>부분 구현</x:v>
      </x:c>
      <x:c r="E8" s="17" t="str">
        <x:v>페이지 연속성 검사 및 표 일반화기</x:v>
      </x:c>
      <x:c r="F8" s="17" t="str">
        <x:v>sp_pdf_judger/pipeline.py::_build_page_continuity_evaluation
sp_pdf_judger/sp_table_result_generalizer.py::expand_table_records_for_judgement</x:v>
      </x:c>
      <x:c r="G8" s="17" t="str">
        <x:v>페이지 순서는 판정하지만 목차 번호 순서와 시험-표 연결을 한 묶음으로 검증하는 전용 판정은 없다.</x:v>
      </x:c>
    </x:row>
    <x:row r="9" ht="52" customHeight="1">
      <x:c r="A9" s="29" t="str">
        <x:v>A.5</x:v>
      </x:c>
      <x:c r="B9" s="17" t="str">
        <x:v>A. 구조적 정합성</x:v>
      </x:c>
      <x:c r="C9" s="17" t="str">
        <x:v>문서 중간 한 장 누락을 인쇄된 현재/전체 페이지 번호를 기준으로 판별한다.</x:v>
      </x:c>
      <x:c r="D9" s="36" t="str">
        <x:v>구현</x:v>
      </x:c>
      <x:c r="E9" s="17" t="str">
        <x:v>페이지 연속성 검사</x:v>
      </x:c>
      <x:c r="F9" s="17" t="str">
        <x:v>sp_pdf_judger/pipeline.py::_build_page_continuity_evaluation
sp_pdf_judger/pipeline.py::_build_structural_consistency_evaluations</x:v>
      </x:c>
      <x:c r="G9" s="17" t="str">
        <x:v>번호 없는 표지는 제외하고 1/N부터 N/N까지 연속성과 표시 전체 페이지 수를 검사한다.</x:v>
      </x:c>
    </x:row>
    <x:row r="10" ht="52" customHeight="1">
      <x:c r="A10" s="29" t="str">
        <x:v>A.6</x:v>
      </x:c>
      <x:c r="B10" s="17" t="str">
        <x:v>A. 구조적 정합성</x:v>
      </x:c>
      <x:c r="C10" s="17" t="str">
        <x:v>제조공정 또는 최종원액 공정 누락과 최종원액 무균시험 항목 누락을 확인한다.</x:v>
      </x:c>
      <x:c r="D10" s="32" t="str">
        <x:v>부분 구현</x:v>
      </x:c>
      <x:c r="E10" s="17" t="str">
        <x:v>제조요약도 공정 커버리지 검사</x:v>
      </x:c>
      <x:c r="F10" s="17" t="str">
        <x:v>sp_pdf_judger/pipeline.py::_build_process_item_coverage_evaluation
sp_pdf_judger/manufacturing_info_validator.py::collect_manufacturing_info_occurrences</x:v>
      </x:c>
      <x:c r="G10" s="17" t="str">
        <x:v>요약도의 제조단계가 상세 제조기록에 존재하는지는 검사하지만 단계 아래 필수 시험 목록, 특히 최종원액 무균시험 1건 누락까지는 직접 대조하지 않는다.</x:v>
      </x:c>
    </x:row>
    <x:row r="11" ht="52" customHeight="1">
      <x:c r="A11" s="29" t="str">
        <x:v>A.7</x:v>
      </x:c>
      <x:c r="B11" s="17" t="str">
        <x:v>A. 구조적 정합성</x:v>
      </x:c>
      <x:c r="C11" s="17" t="str">
        <x:v>IU/mL, CoV, RBD PAb, 생기일반, 생기각조를 올바른 단위·바이러스 항목·약어로 인식한다.</x:v>
      </x:c>
      <x:c r="D11" s="32" t="str">
        <x:v>부분 구현</x:v>
      </x:c>
      <x:c r="E11" s="17" t="str">
        <x:v>단위 정규화기 및 RAG</x:v>
      </x:c>
      <x:c r="F11" s="17" t="str">
        <x:v>sp_pdf_judger/unit_normalizer.py
sp_pdf_judger/rag.py
sp_pdf_judger/domain_details/overall.md</x:v>
      </x:c>
      <x:c r="G11" s="17" t="str">
        <x:v>IU/mL 등 단위 정규화는 있으나 열거된 바이러스명과 약어 전부를 대상으로 한 독립 정확성 검사는 없다.</x:v>
      </x:c>
    </x:row>
    <x:row r="12" ht="52" customHeight="1">
      <x:c r="A12" s="29" t="str">
        <x:v>A.8</x:v>
      </x:c>
      <x:c r="B12" s="17" t="str">
        <x:v>A. 구조적 정합성</x:v>
      </x:c>
      <x:c r="C12" s="17" t="str">
        <x:v>제조요약도 정보를 추출하여 본문의 해당 제조단계 항목과 비교한다.</x:v>
      </x:c>
      <x:c r="D12" s="36" t="str">
        <x:v>구현</x:v>
      </x:c>
      <x:c r="E12" s="17" t="str">
        <x:v>제조정보 정합성 검사</x:v>
      </x:c>
      <x:c r="F12" s="17" t="str">
        <x:v>sp_pdf_judger/manufacturing_info_validator.py::extract_summary_items_from_records
sp_pdf_judger/manufacturing_info_validator.py::validate_manufacturing_info_consistency</x:v>
      </x:c>
      <x:c r="G12" s="17" t="str">
        <x:v>제조번호, 제조년월일, 제조량을 단계별로 수집해 요약도와 본문 occurrence를 비교한다.</x:v>
      </x:c>
    </x:row>
    <x:row r="13" ht="52" customHeight="1">
      <x:c r="A13" s="29" t="str">
        <x:v>A.9</x:v>
      </x:c>
      <x:c r="B13" s="17" t="str">
        <x:v>A. 구조적 정합성</x:v>
      </x:c>
      <x:c r="C13" s="17" t="str">
        <x:v>완제의약품 제조년월일을 다른 날짜 항목으로 대체 추출하지 않는다.</x:v>
      </x:c>
      <x:c r="D13" s="36" t="str">
        <x:v>구현</x:v>
      </x:c>
      <x:c r="E13" s="17" t="str">
        <x:v>제조정보 정합성 검사</x:v>
      </x:c>
      <x:c r="F13" s="17" t="str">
        <x:v>sp_pdf_judger/manufacturing_info_validator.py::_record_candidate_sections
sp_pdf_judger/manufacturing_info_validator.py::_extract_finished_product_from_summary_info</x:v>
      </x:c>
      <x:c r="G13" s="17" t="str">
        <x:v>완제 1.1 정보와 최종원액 4.1 정보를 우선하며 사용된 최종원액 번호 등 혼동 가능한 구간을 제외한다.</x:v>
      </x:c>
    </x:row>
    <x:row r="14" ht="52" customHeight="1">
      <x:c r="A14" s="29" t="str">
        <x:v>A.10</x:v>
      </x:c>
      <x:c r="B14" s="17" t="str">
        <x:v>A. 구조적 정합성</x:v>
      </x:c>
      <x:c r="C14" s="17" t="str">
        <x:v>시험방법에는 시험법 내용을, 시험결과에는 수치·정성 결과를 올바르게 추출한다.</x:v>
      </x:c>
      <x:c r="D14" s="32" t="str">
        <x:v>부분 구현</x:v>
      </x:c>
      <x:c r="E14" s="17" t="str">
        <x:v>JSON 추출기 및 계층화기</x:v>
      </x:c>
      <x:c r="F14" s="17" t="str">
        <x:v>json추출.py
sp_pdf_judger/hierarchy.py
sp_pdf_judger/sp_table_result_generalizer.py</x:v>
      </x:c>
      <x:c r="G14" s="17" t="str">
        <x:v>필드 분리와 후처리는 있으나 잘못된 필드 배치를 탐지해 별도 판정하는 품질 검사는 없다.</x:v>
      </x:c>
    </x:row>
    <x:row r="15" ht="52" customHeight="1">
      <x:c r="A15" s="29" t="str">
        <x:v>A.11</x:v>
      </x:c>
      <x:c r="B15" s="17" t="str">
        <x:v>A. 구조적 정합성</x:v>
      </x:c>
      <x:c r="C15" s="17" t="str">
        <x:v>표의 각 시험기준과 시험결과 값을 정상적으로 연결해 추출한다.</x:v>
      </x:c>
      <x:c r="D15" s="36" t="str">
        <x:v>구현</x:v>
      </x:c>
      <x:c r="E15" s="17" t="str">
        <x:v>시험결과 표 일반화기</x:v>
      </x:c>
      <x:c r="F15" s="17" t="str">
        <x:v>sp_pdf_judger/sp_table_result_generalizer.py::expand_table_records_for_judgement
tests/test_table_and_semantic_judgement.py</x:v>
      </x:c>
      <x:c r="G15" s="17" t="str">
        <x:v>가로형·세로형·전치형 표를 개별 시험 레코드로 일반화하고 표 행별 판정을 지원한다.</x:v>
      </x:c>
    </x:row>
    <x:row r="16" ht="52" customHeight="1">
      <x:c r="A16" s="29" t="str">
        <x:v>A.12</x:v>
      </x:c>
      <x:c r="B16" s="17" t="str">
        <x:v>A. 구조적 정합성</x:v>
      </x:c>
      <x:c r="C16" s="17" t="str">
        <x:v>한 개 시험이 두 번 인식되거나 중복 집계되지 않도록 확인한다.</x:v>
      </x:c>
      <x:c r="D16" s="32" t="str">
        <x:v>부분 구현</x:v>
      </x:c>
      <x:c r="E16" s="17" t="str">
        <x:v>시험결과 표 일반화기</x:v>
      </x:c>
      <x:c r="F16" s="17" t="str">
        <x:v>sp_pdf_judger/sp_table_result_generalizer.py::expand_table_records_for_judgement
sp_pdf_judger/judgement.py::중복 제거</x:v>
      </x:c>
      <x:c r="G16" s="17" t="str">
        <x:v>표 원본 레코드의 이중 판정은 막지만 문서 전체에서 동일 시험 중복 추출을 탐지해 알리는 전용 검사는 없다.</x:v>
      </x:c>
    </x:row>
    <x:row r="17" ht="52" customHeight="1">
      <x:c r="A17" s="29" t="str">
        <x:v>A.13</x:v>
      </x:c>
      <x:c r="B17" s="17" t="str">
        <x:v>A. 구조적 정합성</x:v>
      </x:c>
      <x:c r="C17" s="17" t="str">
        <x:v>충족·불충족·보류 판정의 기준과 결과를 클릭해 근거 위치 및 판정 사유를 확인한다.</x:v>
      </x:c>
      <x:c r="D17" s="32" t="str">
        <x:v>부분 구현</x:v>
      </x:c>
      <x:c r="E17" s="17" t="str">
        <x:v>판정 UI 및 제조정보 앵커</x:v>
      </x:c>
      <x:c r="F17" s="17" t="str">
        <x:v>sp_pdf_judger/ui_html.py
sp_pdf_judger/manufacturing_info_validator.py::_scroll_attrs
tests/test_rendered_stage_detail_has_stable_click_anchor_and_reason</x:v>
      </x:c>
      <x:c r="G17" s="17" t="str">
        <x:v>판정 사유와 일부 제조정보 앵커 이동은 있으나 모든 시험의 기준·결과를 원문 위치로 이동시키는 일관된 링크 계약은 없다.</x:v>
      </x:c>
    </x:row>
    <x:row r="18" ht="52" customHeight="1">
      <x:c r="A18" s="29" t="str">
        <x:v>B.1</x:v>
      </x:c>
      <x:c r="B18" s="17" t="str">
        <x:v>B. 계산 및 수치 정합성</x:v>
      </x:c>
      <x:c r="C18" s="17" t="str">
        <x:v>1.3 IU/mL 같은 수치 기준에서 단위와 비교 연산자를 함께 적용해 판정한다.</x:v>
      </x:c>
      <x:c r="D18" s="36" t="str">
        <x:v>구현</x:v>
      </x:c>
      <x:c r="E18" s="17" t="str">
        <x:v>결정론적 시험 판정기</x:v>
      </x:c>
      <x:c r="F18" s="17" t="str">
        <x:v>sp_pdf_judger/criteria_parser.py
sp_pdf_judger/judgement.py::deterministic_judge
sp_pdf_judger/unit_normalizer.py</x:v>
      </x:c>
      <x:c r="G18" s="17" t="str">
        <x:v>이상·이하·초과·미만과 기호 연산자를 파싱하고 정규화한 단위를 함께 비교한다.</x:v>
      </x:c>
    </x:row>
    <x:row r="19" ht="52" customHeight="1">
      <x:c r="A19" s="29" t="str">
        <x:v>B.2</x:v>
      </x:c>
      <x:c r="B19" s="17" t="str">
        <x:v>B. 계산 및 수치 정합성</x:v>
      </x:c>
      <x:c r="C19" s="17" t="str">
        <x:v>7.0~8.0 같은 범위 기준의 하한과 상한을 적용해 판정한다.</x:v>
      </x:c>
      <x:c r="D19" s="36" t="str">
        <x:v>구현</x:v>
      </x:c>
      <x:c r="E19" s="17" t="str">
        <x:v>수치 기준 파서</x:v>
      </x:c>
      <x:c r="F19" s="17" t="str">
        <x:v>sp_pdf_judger/criteria_parser.py::_parse_range
sp_pdf_judger/judgement.py::deterministic_judge</x:v>
      </x:c>
      <x:c r="G19" s="17" t="str">
        <x:v>범위 표현을 하한·상한으로 변환해 결과의 범위 포함 여부를 검사한다.</x:v>
      </x:c>
    </x:row>
    <x:row r="20" ht="52" customHeight="1">
      <x:c r="A20" s="29" t="str">
        <x:v>B.3</x:v>
      </x:c>
      <x:c r="B20" s="17" t="str">
        <x:v>B. 계산 및 수치 정합성</x:v>
      </x:c>
      <x:c r="C20" s="17" t="str">
        <x:v>검출되지 않아야 함 기준에 대한 불검출, 검출되지 않음, X 등 동의 표현을 인식한다.</x:v>
      </x:c>
      <x:c r="D20" s="36" t="str">
        <x:v>구현</x:v>
      </x:c>
      <x:c r="E20" s="17" t="str">
        <x:v>정성 결과 판정기</x:v>
      </x:c>
      <x:c r="F20" s="17" t="str">
        <x:v>sp_pdf_judger/judgement.py::_judge_qualitative_text
sp_pdf_judger/judgement.py::_judge_semantic_qualitative_text</x:v>
      </x:c>
      <x:c r="G20" s="17" t="str">
        <x:v>부정·불검출 표현군을 정규화해 정성 기준과 결과를 우선 판정한다.</x:v>
      </x:c>
    </x:row>
    <x:row r="21" ht="52" customHeight="1">
      <x:c r="A21" s="29" t="str">
        <x:v>B.4</x:v>
      </x:c>
      <x:c r="B21" s="17" t="str">
        <x:v>B. 계산 및 수치 정합성</x:v>
      </x:c>
      <x:c r="C21" s="17" t="str">
        <x:v>여러 조건이 결합된 기준을 조건별로 나누어 모두 만족하는지 판정한다.</x:v>
      </x:c>
      <x:c r="D21" s="36" t="str">
        <x:v>구현</x:v>
      </x:c>
      <x:c r="E21" s="17" t="str">
        <x:v>복합 정성조건 판정기</x:v>
      </x:c>
      <x:c r="F21" s="17" t="str">
        <x:v>sp_pdf_judger/judgement.py::_judge_compound_qualitative_requirements
tests/test_compound_qualitative_requirement_is_decided_before_gemini</x:v>
      </x:c>
      <x:c r="G21" s="17" t="str">
        <x:v>복수 정성조건을 분리해 전체 충족 여부를 결정하며 일반시험법 우선 규칙도 적용된다.</x:v>
      </x:c>
    </x:row>
    <x:row r="22" ht="52" customHeight="1">
      <x:c r="A22" s="29" t="str">
        <x:v>B.5</x:v>
      </x:c>
      <x:c r="B22" s="17" t="str">
        <x:v>B. 계산 및 수치 정합성</x:v>
      </x:c>
      <x:c r="C22" s="17" t="str">
        <x:v>시험기준 수치와 시험결과 수치의 소수점 이하 자릿수 및 문서 내 표기 자릿수 통일성을 확인한다.</x:v>
      </x:c>
      <x:c r="D22" s="36" t="str">
        <x:v>구현</x:v>
      </x:c>
      <x:c r="E22" s="17" t="str">
        <x:v>소수점 자릿수 검사</x:v>
      </x:c>
      <x:c r="F22" s="17" t="str">
        <x:v>sp_pdf_judger/pipeline.py::_build_decimal_precision_pair_evaluation
sp_pdf_judger/pipeline.py::_build_document_decimal_consistency_evaluation</x:v>
      </x:c>
      <x:c r="G22" s="17" t="str">
        <x:v>기준-결과 쌍과 동일 수치 문맥의 문서 전체 표기에서 소수점 이하 자릿수를 비교한다.</x:v>
      </x:c>
    </x:row>
    <x:row r="23" ht="52" customHeight="1">
      <x:c r="A23" s="29" t="str">
        <x:v>B.6</x:v>
      </x:c>
      <x:c r="B23" s="17" t="str">
        <x:v>B. 계산 및 수치 정합성</x:v>
      </x:c>
      <x:c r="C23" s="17" t="str">
        <x:v>신청제품정보와 본문의 동일 제조정보를 비교한다.</x:v>
      </x:c>
      <x:c r="D23" s="36" t="str">
        <x:v>구현</x:v>
      </x:c>
      <x:c r="E23" s="17" t="str">
        <x:v>제조정보 정합성 검사</x:v>
      </x:c>
      <x:c r="F23" s="17" t="str">
        <x:v>sp_pdf_judger/manufacturing_info_validator.py::collect_manufacturing_info_occurrences
tests/test_generalized_manufacturing_validation.py::test_finished_product_application_info_is_counted_as_document_source</x:v>
      </x:c>
      <x:c r="G23" s="17" t="str">
        <x:v>지원 필드인 제조번호·제조년월일·제조량 범위에서 1.1 신청제품정보를 본문 occurrence로 포함해 비교한다.</x:v>
      </x:c>
    </x:row>
    <x:row r="24" ht="52" customHeight="1">
      <x:c r="A24" s="29" t="str">
        <x:v>B.7</x:v>
      </x:c>
      <x:c r="B24" s="17" t="str">
        <x:v>B. 계산 및 수치 정합성</x:v>
      </x:c>
      <x:c r="C24" s="17" t="str">
        <x:v>제조년월일과 사용(유효)기간으로 최종 유효년월일을 계산해 신청제품정보와 비교한다.</x:v>
      </x:c>
      <x:c r="D24" s="34" t="str">
        <x:v>미구현</x:v>
      </x:c>
      <x:c r="E24" s="17" t="str">
        <x:v>없음</x:v>
      </x:c>
      <x:c r="F24" s="17" t="str">
        <x:v>sp_pdf_judger/manufacturing_info_validator.py::validate_same_manufacturing_number_consistency</x:v>
      </x:c>
      <x:c r="G24" s="17" t="str">
        <x:v>동일 제조번호의 기재값 비교는 있으나 제조일에 기간을 더해 최종 유효일을 계산하는 로직은 없다.</x:v>
      </x:c>
    </x:row>
    <x:row r="25" ht="52" customHeight="1">
      <x:c r="A25" s="29" t="str">
        <x:v>B.8</x:v>
      </x:c>
      <x:c r="B25" s="17" t="str">
        <x:v>B. 계산 및 수치 정합성</x:v>
      </x:c>
      <x:c r="C25" s="17" t="str">
        <x:v>제조수량보다 최종 신청수량이 적을 때 손실·누락 사유가 있으면 허용한다.</x:v>
      </x:c>
      <x:c r="D25" s="34" t="str">
        <x:v>미구현</x:v>
      </x:c>
      <x:c r="E25" s="17" t="str">
        <x:v>없음</x:v>
      </x:c>
      <x:c r="F25" s="17" t="str">
        <x:v>sp_pdf_judger/manufacturing_info_validator.py::_quantity_matches
sp_pdf_judger/manufacturing_info_validator.py::_should_compare_occurrence_quantity</x:v>
      </x:c>
      <x:c r="G25" s="17" t="str">
        <x:v>수량 종류와 단위는 구분하지만 신청수량 감소 사유를 추출해 예외로 허용하는 판정은 없다.</x:v>
      </x:c>
    </x:row>
    <x:row r="26" ht="52" customHeight="1">
      <x:c r="A26" s="29" t="str">
        <x:v>B.9</x:v>
      </x:c>
      <x:c r="B26" s="17" t="str">
        <x:v>B. 계산 및 수치 정합성</x:v>
      </x:c>
      <x:c r="C26" s="17" t="str">
        <x:v>저장기간 시작일이 제조년월일과 같고 허가 저장기간으로 계산한 종료일이 정확한지 확인한다.</x:v>
      </x:c>
      <x:c r="D26" s="34" t="str">
        <x:v>미구현</x:v>
      </x:c>
      <x:c r="E26" s="17" t="str">
        <x:v>없음</x:v>
      </x:c>
      <x:c r="F26" s="17" t="str">
        <x:v>sp_pdf_judger/manufacturing_info_validator.py::validate_same_manufacturing_number_consistency</x:v>
      </x:c>
      <x:c r="G26" s="17" t="str">
        <x:v>날짜와 기간의 반복 기재 일치 검사는 있으나 시작일 동일성 및 종료일 산술 계산은 없다.</x:v>
      </x:c>
    </x:row>
    <x:row r="27" ht="52" customHeight="1">
      <x:c r="A27" s="29" t="str">
        <x:v>B.10</x:v>
      </x:c>
      <x:c r="B27" s="17" t="str">
        <x:v>B. 계산 및 수치 정합성</x:v>
      </x:c>
      <x:c r="C27" s="17" t="str">
        <x:v>제조량, 사용량, 분량, 투입량을 구분하여 검증 대상 수량을 정확히 선택한다.</x:v>
      </x:c>
      <x:c r="D27" s="36" t="str">
        <x:v>구현</x:v>
      </x:c>
      <x:c r="E27" s="17" t="str">
        <x:v>제조정보 수량 필드 선택기</x:v>
      </x:c>
      <x:c r="F27" s="17" t="str">
        <x:v>sp_pdf_judger/manufacturing_info_validator.py::_should_compare_occurrence_quantity
tests/test_generalized_manufacturing_validation.py::test_storage_period_is_never_compared_as_manufacturing_quantity</x:v>
      </x:c>
      <x:c r="G27" s="17" t="str">
        <x:v>사용량·분량·원료완제품 등 비제조수량 출처를 제외하고 제조수량 후보만 비교한다.</x:v>
      </x:c>
    </x:row>
    <x:row r="28" ht="52" customHeight="1">
      <x:c r="A28" s="29" t="str">
        <x:v>B.11</x:v>
      </x:c>
      <x:c r="B28" s="17" t="str">
        <x:v>B. 계산 및 수치 정합성</x:v>
      </x:c>
      <x:c r="C28" s="17" t="str">
        <x:v>허가사항 문서가 있으면 SP 시험기준의 단위와 수치가 허가사항 기준과 일치하는지 확인한다.</x:v>
      </x:c>
      <x:c r="D28" s="32" t="str">
        <x:v>부분 구현</x:v>
      </x:c>
      <x:c r="E28" s="17" t="str">
        <x:v>허가서 RAG 및 시험 판정기</x:v>
      </x:c>
      <x:c r="F28" s="17" t="str">
        <x:v>sp_pdf_judger/judgement.py::PermitPdfStore
sp_pdf_judger/judgement.py::허가서 직접 근거 판정
sp_pdf_judger/permits/permit_rules.yaml</x:v>
      </x:c>
      <x:c r="G28" s="17" t="str">
        <x:v>허가서 근거를 우선해 개별 시험을 판정할 수 있으나 모든 SP 기준을 허가서 기준과 독립 전수 대조하는 검사는 아니다.</x:v>
      </x:c>
    </x:row>
    <x:row r="29" ht="52" customHeight="1">
      <x:c r="A29" s="29" t="str">
        <x:v>C.1</x:v>
      </x:c>
      <x:c r="B29" s="17" t="str">
        <x:v>C. 공정 및 시간적 순서</x:v>
      </x:c>
      <x:c r="C29" s="17" t="str">
        <x:v>중간체 원액 시험일자가 나노파티클 원액 시험일자보다 늦지 않은지 확인한다.</x:v>
      </x:c>
      <x:c r="D29" s="32" t="str">
        <x:v>부분 구현</x:v>
      </x:c>
      <x:c r="E29" s="17" t="str">
        <x:v>공정별 시험 허용구간 검사</x:v>
      </x:c>
      <x:c r="F29" s="17" t="str">
        <x:v>sp_pdf_judger/manufacturing_info_validator.py::validate_stage_test_date_ranges</x:v>
      </x:c>
      <x:c r="G29" s="17" t="str">
        <x:v>각 시험을 제조단계 기간 안에서 검사하지만 두 원액 시험일자를 명시적으로 서로 비교하는 제품 규칙은 없다.</x:v>
      </x:c>
    </x:row>
    <x:row r="30" ht="52" customHeight="1">
      <x:c r="A30" s="29" t="str">
        <x:v>C.2</x:v>
      </x:c>
      <x:c r="B30" s="17" t="str">
        <x:v>C. 공정 및 시간적 순서</x:v>
      </x:c>
      <x:c r="C30" s="17" t="str">
        <x:v>완제품의 모든 시험 완료일 이후에 품질부서 책임자가 최종 서명했는지 확인한다.</x:v>
      </x:c>
      <x:c r="D30" s="36" t="str">
        <x:v>구현</x:v>
      </x:c>
      <x:c r="E30" s="17" t="str">
        <x:v>최종 서명일 검사</x:v>
      </x:c>
      <x:c r="F30" s="17" t="str">
        <x:v>sp_pdf_judger/pipeline.py::_build_final_signature_after_finished_tests_evaluation</x:v>
      </x:c>
      <x:c r="G30" s="17" t="str">
        <x:v>완제품 시험의 최종 완료일과 문서 확인·서명일을 비교해 시간 순서를 판정한다.</x:v>
      </x:c>
    </x:row>
    <x:row r="31" ht="52" customHeight="1">
      <x:c r="A31" s="29" t="str">
        <x:v>C.3</x:v>
      </x:c>
      <x:c r="B31" s="17" t="str">
        <x:v>C. 공정 및 시간적 순서</x:v>
      </x:c>
      <x:c r="C31" s="17" t="str">
        <x:v>최종원액 저장기한 18개월 안에 완제품 제조 완료 시점이 포함되는지 확인한다.</x:v>
      </x:c>
      <x:c r="D31" s="34" t="str">
        <x:v>미구현</x:v>
      </x:c>
      <x:c r="E31" s="17" t="str">
        <x:v>없음</x:v>
      </x:c>
      <x:c r="F31" s="17" t="str">
        <x:v>sp_pdf_judger/manufacturing_info_validator.py::validate_stage_test_date_ranges</x:v>
      </x:c>
      <x:c r="G31" s="17" t="str">
        <x:v>공정일 순서 검사는 있으나 최종원액 제조일에 18개월을 더해 완제품 완료일을 비교하는 로직은 없다.</x:v>
      </x:c>
    </x:row>
    <x:row r="32" ht="52" customHeight="1">
      <x:c r="A32" s="29" t="str">
        <x:v>C.4</x:v>
      </x:c>
      <x:c r="B32" s="17" t="str">
        <x:v>C. 공정 및 시간적 순서</x:v>
      </x:c>
      <x:c r="C32" s="17" t="str">
        <x:v>각 공정 시험일자가 해당 공정 제조일자와 다음 공정 제조일자 사이인지 확인한다.</x:v>
      </x:c>
      <x:c r="D32" s="36" t="str">
        <x:v>구현</x:v>
      </x:c>
      <x:c r="E32" s="17" t="str">
        <x:v>공정별 시험 허용구간 검사</x:v>
      </x:c>
      <x:c r="F32" s="17" t="str">
        <x:v>sp_pdf_judger/manufacturing_info_validator.py::validate_stage_test_date_ranges
tests/test_generalized_manufacturing_validation.py::test_uses_flowchart_edges_for_test_date_window</x:v>
      </x:c>
      <x:c r="G32" s="17" t="str">
        <x:v>현재 단계 제조일 이상, 다음 단계 제조일 미만의 구간으로 시험기간 전체를 검사한다.</x:v>
      </x:c>
    </x:row>
    <x:row r="33" ht="52" customHeight="1">
      <x:c r="A33" s="29" t="str">
        <x:v>C.5</x:v>
      </x:c>
      <x:c r="B33" s="17" t="str">
        <x:v>C. 공정 및 시간적 순서</x:v>
      </x:c>
      <x:c r="C33" s="17" t="str">
        <x:v>병렬 공정의 각 분기 내부 순서와 합류 이후 공통 순서를 모두 확인한다.</x:v>
      </x:c>
      <x:c r="D33" s="36" t="str">
        <x:v>구현</x:v>
      </x:c>
      <x:c r="E33" s="17" t="str">
        <x:v>제조요약도 순서 판정기</x:v>
      </x:c>
      <x:c r="F33" s="17" t="str">
        <x:v>sp_pdf_judger/pipeline.py::_judge_manufacturing_summary_page
sp_pdf_judger/manufacturing_stage_ui.py</x:v>
      </x:c>
      <x:c r="G33" s="17" t="str">
        <x:v>요약도 연결선과 그룹을 이용해 분기 내부 선후관계와 합류 이후 공통 단계 순서를 판정한다.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F766E"/>
  </x:sheetPr>
  <x:sheetViews>
    <x:sheetView showGridLines="0" workbookViewId="0">
      <x:pane xSplit="5" ySplit="4" topLeftCell="F5" activePane="bottomRight" state="frozen"/>
    </x:sheetView>
  </x:sheetViews>
  <x:sheetFormatPr defaultRowHeight="15"/>
  <x:cols>
    <x:col min="1" max="1" width="10" hidden="0" customWidth="1"/>
    <x:col min="2" max="2" width="34" hidden="0" customWidth="1"/>
    <x:col min="3" max="3" width="18" hidden="0" customWidth="1"/>
    <x:col min="4" max="4" width="18" hidden="0" customWidth="1"/>
    <x:col min="5" max="5" width="15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</x:cols>
  <x:sheetData>
    <x:row r="1" ht="34" customHeight="1">
      <x:c r="A1" s="3" t="str">
        <x:v>문서별 기대판정 정의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34" customHeight="1">
      <x:c r="A2" s="7" t="str">
        <x:v>정상기준본과 오류본의 기대판정을 로직별로 입력합니다. D00은 정상기준본 기본값으로 전 항목 충족이며, 적용하지 않는 로직은 해당없음으로 변경합니다.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</x:row>
    <x:row r="4" ht="32" customHeight="1">
      <x:c r="A4" s="13" t="str">
        <x:v>문서 ID</x:v>
      </x:c>
      <x:c r="B4" s="13" t="str">
        <x:v>PDF 파일</x:v>
      </x:c>
      <x:c r="C4" s="13" t="str">
        <x:v>회사</x:v>
      </x:c>
      <x:c r="D4" s="13" t="str">
        <x:v>제품</x:v>
      </x:c>
      <x:c r="E4" s="13" t="str">
        <x:v>문서 구분</x:v>
      </x:c>
      <x:c r="F4" s="13" t="str">
        <x:v>A.1</x:v>
      </x:c>
      <x:c r="G4" s="13" t="str">
        <x:v>A.2</x:v>
      </x:c>
      <x:c r="H4" s="13" t="str">
        <x:v>A.3</x:v>
      </x:c>
      <x:c r="I4" s="13" t="str">
        <x:v>A.4</x:v>
      </x:c>
      <x:c r="J4" s="13" t="str">
        <x:v>A.5</x:v>
      </x:c>
      <x:c r="K4" s="13" t="str">
        <x:v>A.6</x:v>
      </x:c>
      <x:c r="L4" s="13" t="str">
        <x:v>A.7</x:v>
      </x:c>
      <x:c r="M4" s="13" t="str">
        <x:v>A.8</x:v>
      </x:c>
      <x:c r="N4" s="13" t="str">
        <x:v>A.9</x:v>
      </x:c>
      <x:c r="O4" s="13" t="str">
        <x:v>A.10</x:v>
      </x:c>
      <x:c r="P4" s="13" t="str">
        <x:v>A.11</x:v>
      </x:c>
      <x:c r="Q4" s="13" t="str">
        <x:v>A.12</x:v>
      </x:c>
      <x:c r="R4" s="13" t="str">
        <x:v>A.13</x:v>
      </x:c>
      <x:c r="S4" s="13" t="str">
        <x:v>B.1</x:v>
      </x:c>
      <x:c r="T4" s="13" t="str">
        <x:v>B.2</x:v>
      </x:c>
      <x:c r="U4" s="13" t="str">
        <x:v>B.3</x:v>
      </x:c>
      <x:c r="V4" s="13" t="str">
        <x:v>B.4</x:v>
      </x:c>
      <x:c r="W4" s="13" t="str">
        <x:v>B.5</x:v>
      </x:c>
      <x:c r="X4" s="13" t="str">
        <x:v>B.6</x:v>
      </x:c>
      <x:c r="Y4" s="13" t="str">
        <x:v>B.7</x:v>
      </x:c>
      <x:c r="Z4" s="13" t="str">
        <x:v>B.8</x:v>
      </x:c>
      <x:c r="AA4" s="13" t="str">
        <x:v>B.9</x:v>
      </x:c>
      <x:c r="AB4" s="13" t="str">
        <x:v>B.10</x:v>
      </x:c>
      <x:c r="AC4" s="13" t="str">
        <x:v>B.11</x:v>
      </x:c>
      <x:c r="AD4" s="13" t="str">
        <x:v>C.1</x:v>
      </x:c>
      <x:c r="AE4" s="13" t="str">
        <x:v>C.2</x:v>
      </x:c>
      <x:c r="AF4" s="13" t="str">
        <x:v>C.3</x:v>
      </x:c>
      <x:c r="AG4" s="13" t="str">
        <x:v>C.4</x:v>
      </x:c>
      <x:c r="AH4" s="13" t="str">
        <x:v>C.5</x:v>
      </x:c>
    </x:row>
    <x:row r="5">
      <x:c r="A5" s="25" t="str">
        <x:v>D00</x:v>
      </x:c>
      <x:c r="B5" s="25" t="str">
        <x:v>D00_정상기준본.pdf</x:v>
      </x:c>
      <x:c r="C5" s="25" t="str"/>
      <x:c r="D5" s="25" t="str"/>
      <x:c r="E5" s="25" t="str">
        <x:v>정상기준본</x:v>
      </x:c>
      <x:c r="F5" s="30" t="str">
        <x:v>충족</x:v>
      </x:c>
      <x:c r="G5" s="30" t="str">
        <x:v>충족</x:v>
      </x:c>
      <x:c r="H5" s="30" t="str">
        <x:v>충족</x:v>
      </x:c>
      <x:c r="I5" s="30" t="str">
        <x:v>충족</x:v>
      </x:c>
      <x:c r="J5" s="30" t="str">
        <x:v>충족</x:v>
      </x:c>
      <x:c r="K5" s="30" t="str">
        <x:v>충족</x:v>
      </x:c>
      <x:c r="L5" s="30" t="str">
        <x:v>충족</x:v>
      </x:c>
      <x:c r="M5" s="30" t="str">
        <x:v>충족</x:v>
      </x:c>
      <x:c r="N5" s="30" t="str">
        <x:v>충족</x:v>
      </x:c>
      <x:c r="O5" s="30" t="str">
        <x:v>충족</x:v>
      </x:c>
      <x:c r="P5" s="30" t="str">
        <x:v>충족</x:v>
      </x:c>
      <x:c r="Q5" s="30" t="str">
        <x:v>충족</x:v>
      </x:c>
      <x:c r="R5" s="30" t="str">
        <x:v>충족</x:v>
      </x:c>
      <x:c r="S5" s="30" t="str">
        <x:v>충족</x:v>
      </x:c>
      <x:c r="T5" s="30" t="str">
        <x:v>충족</x:v>
      </x:c>
      <x:c r="U5" s="30" t="str">
        <x:v>충족</x:v>
      </x:c>
      <x:c r="V5" s="30" t="str">
        <x:v>충족</x:v>
      </x:c>
      <x:c r="W5" s="30" t="str">
        <x:v>충족</x:v>
      </x:c>
      <x:c r="X5" s="30" t="str">
        <x:v>충족</x:v>
      </x:c>
      <x:c r="Y5" s="30" t="str">
        <x:v>충족</x:v>
      </x:c>
      <x:c r="Z5" s="30" t="str">
        <x:v>충족</x:v>
      </x:c>
      <x:c r="AA5" s="30" t="str">
        <x:v>충족</x:v>
      </x:c>
      <x:c r="AB5" s="30" t="str">
        <x:v>충족</x:v>
      </x:c>
      <x:c r="AC5" s="30" t="str">
        <x:v>충족</x:v>
      </x:c>
      <x:c r="AD5" s="30" t="str">
        <x:v>충족</x:v>
      </x:c>
      <x:c r="AE5" s="30" t="str">
        <x:v>충족</x:v>
      </x:c>
      <x:c r="AF5" s="30" t="str">
        <x:v>충족</x:v>
      </x:c>
      <x:c r="AG5" s="30" t="str">
        <x:v>충족</x:v>
      </x:c>
      <x:c r="AH5" s="30" t="str">
        <x:v>충족</x:v>
      </x:c>
    </x:row>
    <x:row r="6">
      <x:c r="A6" s="25" t="str">
        <x:v>D01</x:v>
      </x:c>
      <x:c r="B6" s="25" t="str"/>
      <x:c r="C6" s="25" t="str"/>
      <x:c r="D6" s="25" t="str"/>
      <x:c r="E6" s="25" t="str">
        <x:v>오류본</x:v>
      </x:c>
      <x:c r="F6" s="30" t="str">
        <x:v>미설정</x:v>
      </x:c>
      <x:c r="G6" s="30" t="str">
        <x:v>미설정</x:v>
      </x:c>
      <x:c r="H6" s="30" t="str">
        <x:v>미설정</x:v>
      </x:c>
      <x:c r="I6" s="30" t="str">
        <x:v>미설정</x:v>
      </x:c>
      <x:c r="J6" s="30" t="str">
        <x:v>미설정</x:v>
      </x:c>
      <x:c r="K6" s="30" t="str">
        <x:v>미설정</x:v>
      </x:c>
      <x:c r="L6" s="30" t="str">
        <x:v>미설정</x:v>
      </x:c>
      <x:c r="M6" s="30" t="str">
        <x:v>미설정</x:v>
      </x:c>
      <x:c r="N6" s="30" t="str">
        <x:v>미설정</x:v>
      </x:c>
      <x:c r="O6" s="30" t="str">
        <x:v>미설정</x:v>
      </x:c>
      <x:c r="P6" s="30" t="str">
        <x:v>미설정</x:v>
      </x:c>
      <x:c r="Q6" s="30" t="str">
        <x:v>미설정</x:v>
      </x:c>
      <x:c r="R6" s="30" t="str">
        <x:v>미설정</x:v>
      </x:c>
      <x:c r="S6" s="30" t="str">
        <x:v>미설정</x:v>
      </x:c>
      <x:c r="T6" s="30" t="str">
        <x:v>미설정</x:v>
      </x:c>
      <x:c r="U6" s="30" t="str">
        <x:v>미설정</x:v>
      </x:c>
      <x:c r="V6" s="30" t="str">
        <x:v>미설정</x:v>
      </x:c>
      <x:c r="W6" s="30" t="str">
        <x:v>미설정</x:v>
      </x:c>
      <x:c r="X6" s="30" t="str">
        <x:v>미설정</x:v>
      </x:c>
      <x:c r="Y6" s="30" t="str">
        <x:v>미설정</x:v>
      </x:c>
      <x:c r="Z6" s="30" t="str">
        <x:v>미설정</x:v>
      </x:c>
      <x:c r="AA6" s="30" t="str">
        <x:v>미설정</x:v>
      </x:c>
      <x:c r="AB6" s="30" t="str">
        <x:v>미설정</x:v>
      </x:c>
      <x:c r="AC6" s="30" t="str">
        <x:v>미설정</x:v>
      </x:c>
      <x:c r="AD6" s="30" t="str">
        <x:v>미설정</x:v>
      </x:c>
      <x:c r="AE6" s="30" t="str">
        <x:v>미설정</x:v>
      </x:c>
      <x:c r="AF6" s="30" t="str">
        <x:v>미설정</x:v>
      </x:c>
      <x:c r="AG6" s="30" t="str">
        <x:v>미설정</x:v>
      </x:c>
      <x:c r="AH6" s="30" t="str">
        <x:v>미설정</x:v>
      </x:c>
    </x:row>
    <x:row r="7">
      <x:c r="A7" s="25" t="str">
        <x:v>D02</x:v>
      </x:c>
      <x:c r="B7" s="25" t="str"/>
      <x:c r="C7" s="25" t="str"/>
      <x:c r="D7" s="25" t="str"/>
      <x:c r="E7" s="25" t="str">
        <x:v>오류본</x:v>
      </x:c>
      <x:c r="F7" s="30" t="str">
        <x:v>미설정</x:v>
      </x:c>
      <x:c r="G7" s="30" t="str">
        <x:v>미설정</x:v>
      </x:c>
      <x:c r="H7" s="30" t="str">
        <x:v>미설정</x:v>
      </x:c>
      <x:c r="I7" s="30" t="str">
        <x:v>미설정</x:v>
      </x:c>
      <x:c r="J7" s="30" t="str">
        <x:v>미설정</x:v>
      </x:c>
      <x:c r="K7" s="30" t="str">
        <x:v>미설정</x:v>
      </x:c>
      <x:c r="L7" s="30" t="str">
        <x:v>미설정</x:v>
      </x:c>
      <x:c r="M7" s="30" t="str">
        <x:v>미설정</x:v>
      </x:c>
      <x:c r="N7" s="30" t="str">
        <x:v>미설정</x:v>
      </x:c>
      <x:c r="O7" s="30" t="str">
        <x:v>미설정</x:v>
      </x:c>
      <x:c r="P7" s="30" t="str">
        <x:v>미설정</x:v>
      </x:c>
      <x:c r="Q7" s="30" t="str">
        <x:v>미설정</x:v>
      </x:c>
      <x:c r="R7" s="30" t="str">
        <x:v>미설정</x:v>
      </x:c>
      <x:c r="S7" s="30" t="str">
        <x:v>미설정</x:v>
      </x:c>
      <x:c r="T7" s="30" t="str">
        <x:v>미설정</x:v>
      </x:c>
      <x:c r="U7" s="30" t="str">
        <x:v>미설정</x:v>
      </x:c>
      <x:c r="V7" s="30" t="str">
        <x:v>미설정</x:v>
      </x:c>
      <x:c r="W7" s="30" t="str">
        <x:v>미설정</x:v>
      </x:c>
      <x:c r="X7" s="30" t="str">
        <x:v>미설정</x:v>
      </x:c>
      <x:c r="Y7" s="30" t="str">
        <x:v>미설정</x:v>
      </x:c>
      <x:c r="Z7" s="30" t="str">
        <x:v>미설정</x:v>
      </x:c>
      <x:c r="AA7" s="30" t="str">
        <x:v>미설정</x:v>
      </x:c>
      <x:c r="AB7" s="30" t="str">
        <x:v>미설정</x:v>
      </x:c>
      <x:c r="AC7" s="30" t="str">
        <x:v>미설정</x:v>
      </x:c>
      <x:c r="AD7" s="30" t="str">
        <x:v>미설정</x:v>
      </x:c>
      <x:c r="AE7" s="30" t="str">
        <x:v>미설정</x:v>
      </x:c>
      <x:c r="AF7" s="30" t="str">
        <x:v>미설정</x:v>
      </x:c>
      <x:c r="AG7" s="30" t="str">
        <x:v>미설정</x:v>
      </x:c>
      <x:c r="AH7" s="30" t="str">
        <x:v>미설정</x:v>
      </x:c>
    </x:row>
    <x:row r="8">
      <x:c r="A8" s="25" t="str">
        <x:v>D03</x:v>
      </x:c>
      <x:c r="B8" s="25" t="str"/>
      <x:c r="C8" s="25" t="str"/>
      <x:c r="D8" s="25" t="str"/>
      <x:c r="E8" s="25" t="str">
        <x:v>오류본</x:v>
      </x:c>
      <x:c r="F8" s="30" t="str">
        <x:v>미설정</x:v>
      </x:c>
      <x:c r="G8" s="30" t="str">
        <x:v>미설정</x:v>
      </x:c>
      <x:c r="H8" s="30" t="str">
        <x:v>미설정</x:v>
      </x:c>
      <x:c r="I8" s="30" t="str">
        <x:v>미설정</x:v>
      </x:c>
      <x:c r="J8" s="30" t="str">
        <x:v>미설정</x:v>
      </x:c>
      <x:c r="K8" s="30" t="str">
        <x:v>미설정</x:v>
      </x:c>
      <x:c r="L8" s="30" t="str">
        <x:v>미설정</x:v>
      </x:c>
      <x:c r="M8" s="30" t="str">
        <x:v>미설정</x:v>
      </x:c>
      <x:c r="N8" s="30" t="str">
        <x:v>미설정</x:v>
      </x:c>
      <x:c r="O8" s="30" t="str">
        <x:v>미설정</x:v>
      </x:c>
      <x:c r="P8" s="30" t="str">
        <x:v>미설정</x:v>
      </x:c>
      <x:c r="Q8" s="30" t="str">
        <x:v>미설정</x:v>
      </x:c>
      <x:c r="R8" s="30" t="str">
        <x:v>미설정</x:v>
      </x:c>
      <x:c r="S8" s="30" t="str">
        <x:v>미설정</x:v>
      </x:c>
      <x:c r="T8" s="30" t="str">
        <x:v>미설정</x:v>
      </x:c>
      <x:c r="U8" s="30" t="str">
        <x:v>미설정</x:v>
      </x:c>
      <x:c r="V8" s="30" t="str">
        <x:v>미설정</x:v>
      </x:c>
      <x:c r="W8" s="30" t="str">
        <x:v>미설정</x:v>
      </x:c>
      <x:c r="X8" s="30" t="str">
        <x:v>미설정</x:v>
      </x:c>
      <x:c r="Y8" s="30" t="str">
        <x:v>미설정</x:v>
      </x:c>
      <x:c r="Z8" s="30" t="str">
        <x:v>미설정</x:v>
      </x:c>
      <x:c r="AA8" s="30" t="str">
        <x:v>미설정</x:v>
      </x:c>
      <x:c r="AB8" s="30" t="str">
        <x:v>미설정</x:v>
      </x:c>
      <x:c r="AC8" s="30" t="str">
        <x:v>미설정</x:v>
      </x:c>
      <x:c r="AD8" s="30" t="str">
        <x:v>미설정</x:v>
      </x:c>
      <x:c r="AE8" s="30" t="str">
        <x:v>미설정</x:v>
      </x:c>
      <x:c r="AF8" s="30" t="str">
        <x:v>미설정</x:v>
      </x:c>
      <x:c r="AG8" s="30" t="str">
        <x:v>미설정</x:v>
      </x:c>
      <x:c r="AH8" s="30" t="str">
        <x:v>미설정</x:v>
      </x:c>
    </x:row>
    <x:row r="9">
      <x:c r="A9" s="25" t="str">
        <x:v>D04</x:v>
      </x:c>
      <x:c r="B9" s="25" t="str"/>
      <x:c r="C9" s="25" t="str"/>
      <x:c r="D9" s="25" t="str"/>
      <x:c r="E9" s="25" t="str">
        <x:v>오류본</x:v>
      </x:c>
      <x:c r="F9" s="30" t="str">
        <x:v>미설정</x:v>
      </x:c>
      <x:c r="G9" s="30" t="str">
        <x:v>미설정</x:v>
      </x:c>
      <x:c r="H9" s="30" t="str">
        <x:v>미설정</x:v>
      </x:c>
      <x:c r="I9" s="30" t="str">
        <x:v>미설정</x:v>
      </x:c>
      <x:c r="J9" s="30" t="str">
        <x:v>미설정</x:v>
      </x:c>
      <x:c r="K9" s="30" t="str">
        <x:v>미설정</x:v>
      </x:c>
      <x:c r="L9" s="30" t="str">
        <x:v>미설정</x:v>
      </x:c>
      <x:c r="M9" s="30" t="str">
        <x:v>미설정</x:v>
      </x:c>
      <x:c r="N9" s="30" t="str">
        <x:v>미설정</x:v>
      </x:c>
      <x:c r="O9" s="30" t="str">
        <x:v>미설정</x:v>
      </x:c>
      <x:c r="P9" s="30" t="str">
        <x:v>미설정</x:v>
      </x:c>
      <x:c r="Q9" s="30" t="str">
        <x:v>미설정</x:v>
      </x:c>
      <x:c r="R9" s="30" t="str">
        <x:v>미설정</x:v>
      </x:c>
      <x:c r="S9" s="30" t="str">
        <x:v>미설정</x:v>
      </x:c>
      <x:c r="T9" s="30" t="str">
        <x:v>미설정</x:v>
      </x:c>
      <x:c r="U9" s="30" t="str">
        <x:v>미설정</x:v>
      </x:c>
      <x:c r="V9" s="30" t="str">
        <x:v>미설정</x:v>
      </x:c>
      <x:c r="W9" s="30" t="str">
        <x:v>미설정</x:v>
      </x:c>
      <x:c r="X9" s="30" t="str">
        <x:v>미설정</x:v>
      </x:c>
      <x:c r="Y9" s="30" t="str">
        <x:v>미설정</x:v>
      </x:c>
      <x:c r="Z9" s="30" t="str">
        <x:v>미설정</x:v>
      </x:c>
      <x:c r="AA9" s="30" t="str">
        <x:v>미설정</x:v>
      </x:c>
      <x:c r="AB9" s="30" t="str">
        <x:v>미설정</x:v>
      </x:c>
      <x:c r="AC9" s="30" t="str">
        <x:v>미설정</x:v>
      </x:c>
      <x:c r="AD9" s="30" t="str">
        <x:v>미설정</x:v>
      </x:c>
      <x:c r="AE9" s="30" t="str">
        <x:v>미설정</x:v>
      </x:c>
      <x:c r="AF9" s="30" t="str">
        <x:v>미설정</x:v>
      </x:c>
      <x:c r="AG9" s="30" t="str">
        <x:v>미설정</x:v>
      </x:c>
      <x:c r="AH9" s="30" t="str">
        <x:v>미설정</x:v>
      </x:c>
    </x:row>
    <x:row r="10">
      <x:c r="A10" s="25" t="str">
        <x:v>D05</x:v>
      </x:c>
      <x:c r="B10" s="25" t="str"/>
      <x:c r="C10" s="25" t="str"/>
      <x:c r="D10" s="25" t="str"/>
      <x:c r="E10" s="25" t="str">
        <x:v>오류본</x:v>
      </x:c>
      <x:c r="F10" s="30" t="str">
        <x:v>미설정</x:v>
      </x:c>
      <x:c r="G10" s="30" t="str">
        <x:v>미설정</x:v>
      </x:c>
      <x:c r="H10" s="30" t="str">
        <x:v>미설정</x:v>
      </x:c>
      <x:c r="I10" s="30" t="str">
        <x:v>미설정</x:v>
      </x:c>
      <x:c r="J10" s="30" t="str">
        <x:v>미설정</x:v>
      </x:c>
      <x:c r="K10" s="30" t="str">
        <x:v>미설정</x:v>
      </x:c>
      <x:c r="L10" s="30" t="str">
        <x:v>미설정</x:v>
      </x:c>
      <x:c r="M10" s="30" t="str">
        <x:v>미설정</x:v>
      </x:c>
      <x:c r="N10" s="30" t="str">
        <x:v>미설정</x:v>
      </x:c>
      <x:c r="O10" s="30" t="str">
        <x:v>미설정</x:v>
      </x:c>
      <x:c r="P10" s="30" t="str">
        <x:v>미설정</x:v>
      </x:c>
      <x:c r="Q10" s="30" t="str">
        <x:v>미설정</x:v>
      </x:c>
      <x:c r="R10" s="30" t="str">
        <x:v>미설정</x:v>
      </x:c>
      <x:c r="S10" s="30" t="str">
        <x:v>미설정</x:v>
      </x:c>
      <x:c r="T10" s="30" t="str">
        <x:v>미설정</x:v>
      </x:c>
      <x:c r="U10" s="30" t="str">
        <x:v>미설정</x:v>
      </x:c>
      <x:c r="V10" s="30" t="str">
        <x:v>미설정</x:v>
      </x:c>
      <x:c r="W10" s="30" t="str">
        <x:v>미설정</x:v>
      </x:c>
      <x:c r="X10" s="30" t="str">
        <x:v>미설정</x:v>
      </x:c>
      <x:c r="Y10" s="30" t="str">
        <x:v>미설정</x:v>
      </x:c>
      <x:c r="Z10" s="30" t="str">
        <x:v>미설정</x:v>
      </x:c>
      <x:c r="AA10" s="30" t="str">
        <x:v>미설정</x:v>
      </x:c>
      <x:c r="AB10" s="30" t="str">
        <x:v>미설정</x:v>
      </x:c>
      <x:c r="AC10" s="30" t="str">
        <x:v>미설정</x:v>
      </x:c>
      <x:c r="AD10" s="30" t="str">
        <x:v>미설정</x:v>
      </x:c>
      <x:c r="AE10" s="30" t="str">
        <x:v>미설정</x:v>
      </x:c>
      <x:c r="AF10" s="30" t="str">
        <x:v>미설정</x:v>
      </x:c>
      <x:c r="AG10" s="30" t="str">
        <x:v>미설정</x:v>
      </x:c>
      <x:c r="AH10" s="30" t="str">
        <x:v>미설정</x:v>
      </x:c>
    </x:row>
    <x:row r="11">
      <x:c r="A11" s="25" t="str">
        <x:v>D06</x:v>
      </x:c>
      <x:c r="B11" s="25" t="str"/>
      <x:c r="C11" s="25" t="str"/>
      <x:c r="D11" s="25" t="str"/>
      <x:c r="E11" s="25" t="str">
        <x:v>오류본</x:v>
      </x:c>
      <x:c r="F11" s="30" t="str">
        <x:v>미설정</x:v>
      </x:c>
      <x:c r="G11" s="30" t="str">
        <x:v>미설정</x:v>
      </x:c>
      <x:c r="H11" s="30" t="str">
        <x:v>미설정</x:v>
      </x:c>
      <x:c r="I11" s="30" t="str">
        <x:v>미설정</x:v>
      </x:c>
      <x:c r="J11" s="30" t="str">
        <x:v>미설정</x:v>
      </x:c>
      <x:c r="K11" s="30" t="str">
        <x:v>미설정</x:v>
      </x:c>
      <x:c r="L11" s="30" t="str">
        <x:v>미설정</x:v>
      </x:c>
      <x:c r="M11" s="30" t="str">
        <x:v>미설정</x:v>
      </x:c>
      <x:c r="N11" s="30" t="str">
        <x:v>미설정</x:v>
      </x:c>
      <x:c r="O11" s="30" t="str">
        <x:v>미설정</x:v>
      </x:c>
      <x:c r="P11" s="30" t="str">
        <x:v>미설정</x:v>
      </x:c>
      <x:c r="Q11" s="30" t="str">
        <x:v>미설정</x:v>
      </x:c>
      <x:c r="R11" s="30" t="str">
        <x:v>미설정</x:v>
      </x:c>
      <x:c r="S11" s="30" t="str">
        <x:v>미설정</x:v>
      </x:c>
      <x:c r="T11" s="30" t="str">
        <x:v>미설정</x:v>
      </x:c>
      <x:c r="U11" s="30" t="str">
        <x:v>미설정</x:v>
      </x:c>
      <x:c r="V11" s="30" t="str">
        <x:v>미설정</x:v>
      </x:c>
      <x:c r="W11" s="30" t="str">
        <x:v>미설정</x:v>
      </x:c>
      <x:c r="X11" s="30" t="str">
        <x:v>미설정</x:v>
      </x:c>
      <x:c r="Y11" s="30" t="str">
        <x:v>미설정</x:v>
      </x:c>
      <x:c r="Z11" s="30" t="str">
        <x:v>미설정</x:v>
      </x:c>
      <x:c r="AA11" s="30" t="str">
        <x:v>미설정</x:v>
      </x:c>
      <x:c r="AB11" s="30" t="str">
        <x:v>미설정</x:v>
      </x:c>
      <x:c r="AC11" s="30" t="str">
        <x:v>미설정</x:v>
      </x:c>
      <x:c r="AD11" s="30" t="str">
        <x:v>미설정</x:v>
      </x:c>
      <x:c r="AE11" s="30" t="str">
        <x:v>미설정</x:v>
      </x:c>
      <x:c r="AF11" s="30" t="str">
        <x:v>미설정</x:v>
      </x:c>
      <x:c r="AG11" s="30" t="str">
        <x:v>미설정</x:v>
      </x:c>
      <x:c r="AH11" s="30" t="str">
        <x:v>미설정</x:v>
      </x:c>
    </x:row>
    <x:row r="12">
      <x:c r="A12" s="25" t="str">
        <x:v>D07</x:v>
      </x:c>
      <x:c r="B12" s="25" t="str"/>
      <x:c r="C12" s="25" t="str"/>
      <x:c r="D12" s="25" t="str"/>
      <x:c r="E12" s="25" t="str">
        <x:v>오류본</x:v>
      </x:c>
      <x:c r="F12" s="30" t="str">
        <x:v>미설정</x:v>
      </x:c>
      <x:c r="G12" s="30" t="str">
        <x:v>미설정</x:v>
      </x:c>
      <x:c r="H12" s="30" t="str">
        <x:v>미설정</x:v>
      </x:c>
      <x:c r="I12" s="30" t="str">
        <x:v>미설정</x:v>
      </x:c>
      <x:c r="J12" s="30" t="str">
        <x:v>미설정</x:v>
      </x:c>
      <x:c r="K12" s="30" t="str">
        <x:v>미설정</x:v>
      </x:c>
      <x:c r="L12" s="30" t="str">
        <x:v>미설정</x:v>
      </x:c>
      <x:c r="M12" s="30" t="str">
        <x:v>미설정</x:v>
      </x:c>
      <x:c r="N12" s="30" t="str">
        <x:v>미설정</x:v>
      </x:c>
      <x:c r="O12" s="30" t="str">
        <x:v>미설정</x:v>
      </x:c>
      <x:c r="P12" s="30" t="str">
        <x:v>미설정</x:v>
      </x:c>
      <x:c r="Q12" s="30" t="str">
        <x:v>미설정</x:v>
      </x:c>
      <x:c r="R12" s="30" t="str">
        <x:v>미설정</x:v>
      </x:c>
      <x:c r="S12" s="30" t="str">
        <x:v>미설정</x:v>
      </x:c>
      <x:c r="T12" s="30" t="str">
        <x:v>미설정</x:v>
      </x:c>
      <x:c r="U12" s="30" t="str">
        <x:v>미설정</x:v>
      </x:c>
      <x:c r="V12" s="30" t="str">
        <x:v>미설정</x:v>
      </x:c>
      <x:c r="W12" s="30" t="str">
        <x:v>미설정</x:v>
      </x:c>
      <x:c r="X12" s="30" t="str">
        <x:v>미설정</x:v>
      </x:c>
      <x:c r="Y12" s="30" t="str">
        <x:v>미설정</x:v>
      </x:c>
      <x:c r="Z12" s="30" t="str">
        <x:v>미설정</x:v>
      </x:c>
      <x:c r="AA12" s="30" t="str">
        <x:v>미설정</x:v>
      </x:c>
      <x:c r="AB12" s="30" t="str">
        <x:v>미설정</x:v>
      </x:c>
      <x:c r="AC12" s="30" t="str">
        <x:v>미설정</x:v>
      </x:c>
      <x:c r="AD12" s="30" t="str">
        <x:v>미설정</x:v>
      </x:c>
      <x:c r="AE12" s="30" t="str">
        <x:v>미설정</x:v>
      </x:c>
      <x:c r="AF12" s="30" t="str">
        <x:v>미설정</x:v>
      </x:c>
      <x:c r="AG12" s="30" t="str">
        <x:v>미설정</x:v>
      </x:c>
      <x:c r="AH12" s="30" t="str">
        <x:v>미설정</x:v>
      </x:c>
    </x:row>
    <x:row r="13">
      <x:c r="A13" s="25" t="str">
        <x:v>D08</x:v>
      </x:c>
      <x:c r="B13" s="25" t="str"/>
      <x:c r="C13" s="25" t="str"/>
      <x:c r="D13" s="25" t="str"/>
      <x:c r="E13" s="25" t="str">
        <x:v>오류본</x:v>
      </x:c>
      <x:c r="F13" s="30" t="str">
        <x:v>미설정</x:v>
      </x:c>
      <x:c r="G13" s="30" t="str">
        <x:v>미설정</x:v>
      </x:c>
      <x:c r="H13" s="30" t="str">
        <x:v>미설정</x:v>
      </x:c>
      <x:c r="I13" s="30" t="str">
        <x:v>미설정</x:v>
      </x:c>
      <x:c r="J13" s="30" t="str">
        <x:v>미설정</x:v>
      </x:c>
      <x:c r="K13" s="30" t="str">
        <x:v>미설정</x:v>
      </x:c>
      <x:c r="L13" s="30" t="str">
        <x:v>미설정</x:v>
      </x:c>
      <x:c r="M13" s="30" t="str">
        <x:v>미설정</x:v>
      </x:c>
      <x:c r="N13" s="30" t="str">
        <x:v>미설정</x:v>
      </x:c>
      <x:c r="O13" s="30" t="str">
        <x:v>미설정</x:v>
      </x:c>
      <x:c r="P13" s="30" t="str">
        <x:v>미설정</x:v>
      </x:c>
      <x:c r="Q13" s="30" t="str">
        <x:v>미설정</x:v>
      </x:c>
      <x:c r="R13" s="30" t="str">
        <x:v>미설정</x:v>
      </x:c>
      <x:c r="S13" s="30" t="str">
        <x:v>미설정</x:v>
      </x:c>
      <x:c r="T13" s="30" t="str">
        <x:v>미설정</x:v>
      </x:c>
      <x:c r="U13" s="30" t="str">
        <x:v>미설정</x:v>
      </x:c>
      <x:c r="V13" s="30" t="str">
        <x:v>미설정</x:v>
      </x:c>
      <x:c r="W13" s="30" t="str">
        <x:v>미설정</x:v>
      </x:c>
      <x:c r="X13" s="30" t="str">
        <x:v>미설정</x:v>
      </x:c>
      <x:c r="Y13" s="30" t="str">
        <x:v>미설정</x:v>
      </x:c>
      <x:c r="Z13" s="30" t="str">
        <x:v>미설정</x:v>
      </x:c>
      <x:c r="AA13" s="30" t="str">
        <x:v>미설정</x:v>
      </x:c>
      <x:c r="AB13" s="30" t="str">
        <x:v>미설정</x:v>
      </x:c>
      <x:c r="AC13" s="30" t="str">
        <x:v>미설정</x:v>
      </x:c>
      <x:c r="AD13" s="30" t="str">
        <x:v>미설정</x:v>
      </x:c>
      <x:c r="AE13" s="30" t="str">
        <x:v>미설정</x:v>
      </x:c>
      <x:c r="AF13" s="30" t="str">
        <x:v>미설정</x:v>
      </x:c>
      <x:c r="AG13" s="30" t="str">
        <x:v>미설정</x:v>
      </x:c>
      <x:c r="AH13" s="30" t="str">
        <x:v>미설정</x:v>
      </x:c>
    </x:row>
  </x:sheetData>
  <x:mergeCells>
    <x:mergeCell ref="A1:AH1"/>
    <x:mergeCell ref="A2:AH2"/>
  </x:mergeCells>
  <x:dataValidations count="1">
    <x:dataValidation type="list" sqref="F5:AH13">
      <x:formula1>"충족,불충족,보류,해당없음,미설정"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C3AE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34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2" hidden="0" customWidth="1"/>
    <x:col min="33" max="33" width="12" hidden="0" customWidth="1"/>
    <x:col min="34" max="34" width="12" hidden="0" customWidth="1"/>
  </x:cols>
  <x:sheetData>
    <x:row r="1" ht="34" customHeight="1">
      <x:c r="A1" s="3" t="str">
        <x:v>문서별 회귀검증 매트릭스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34" customHeight="1">
      <x:c r="A2" s="7" t="str">
        <x:v>O는 기대판정과 실제판정 일치, X는 불일치입니다. 미실행은 결과가 아직 적재되지 않은 로직입니다.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</x:row>
    <x:row r="4" ht="32" customHeight="1">
      <x:c r="A4" s="13" t="str">
        <x:v>문서 ID</x:v>
      </x:c>
      <x:c r="B4" s="13" t="str">
        <x:v>PDF 파일</x:v>
      </x:c>
      <x:c r="C4" s="13" t="str">
        <x:v>A.1</x:v>
      </x:c>
      <x:c r="D4" s="13" t="str">
        <x:v>A.2</x:v>
      </x:c>
      <x:c r="E4" s="13" t="str">
        <x:v>A.3</x:v>
      </x:c>
      <x:c r="F4" s="13" t="str">
        <x:v>A.4</x:v>
      </x:c>
      <x:c r="G4" s="13" t="str">
        <x:v>A.5</x:v>
      </x:c>
      <x:c r="H4" s="13" t="str">
        <x:v>A.6</x:v>
      </x:c>
      <x:c r="I4" s="13" t="str">
        <x:v>A.7</x:v>
      </x:c>
      <x:c r="J4" s="13" t="str">
        <x:v>A.8</x:v>
      </x:c>
      <x:c r="K4" s="13" t="str">
        <x:v>A.9</x:v>
      </x:c>
      <x:c r="L4" s="13" t="str">
        <x:v>A.10</x:v>
      </x:c>
      <x:c r="M4" s="13" t="str">
        <x:v>A.11</x:v>
      </x:c>
      <x:c r="N4" s="13" t="str">
        <x:v>A.12</x:v>
      </x:c>
      <x:c r="O4" s="13" t="str">
        <x:v>A.13</x:v>
      </x:c>
      <x:c r="P4" s="13" t="str">
        <x:v>B.1</x:v>
      </x:c>
      <x:c r="Q4" s="13" t="str">
        <x:v>B.2</x:v>
      </x:c>
      <x:c r="R4" s="13" t="str">
        <x:v>B.3</x:v>
      </x:c>
      <x:c r="S4" s="13" t="str">
        <x:v>B.4</x:v>
      </x:c>
      <x:c r="T4" s="13" t="str">
        <x:v>B.5</x:v>
      </x:c>
      <x:c r="U4" s="13" t="str">
        <x:v>B.6</x:v>
      </x:c>
      <x:c r="V4" s="13" t="str">
        <x:v>B.7</x:v>
      </x:c>
      <x:c r="W4" s="13" t="str">
        <x:v>B.8</x:v>
      </x:c>
      <x:c r="X4" s="13" t="str">
        <x:v>B.9</x:v>
      </x:c>
      <x:c r="Y4" s="13" t="str">
        <x:v>B.10</x:v>
      </x:c>
      <x:c r="Z4" s="13" t="str">
        <x:v>B.11</x:v>
      </x:c>
      <x:c r="AA4" s="13" t="str">
        <x:v>C.1</x:v>
      </x:c>
      <x:c r="AB4" s="13" t="str">
        <x:v>C.2</x:v>
      </x:c>
      <x:c r="AC4" s="13" t="str">
        <x:v>C.3</x:v>
      </x:c>
      <x:c r="AD4" s="13" t="str">
        <x:v>C.4</x:v>
      </x:c>
      <x:c r="AE4" s="13" t="str">
        <x:v>C.5</x:v>
      </x:c>
      <x:c r="AF4" s="13" t="str">
        <x:v>O 합계</x:v>
      </x:c>
      <x:c r="AG4" s="13" t="str">
        <x:v>X 합계</x:v>
      </x:c>
      <x:c r="AH4" s="13" t="str">
        <x:v>미실행 합계</x:v>
      </x:c>
    </x:row>
    <x:row r="5">
      <x:c r="A5" s="25" t="str">
        <x:v>D00</x:v>
      </x:c>
      <x:c r="B5" s="25" t="str">
        <x:v>D00_정상기준본.pdf</x:v>
      </x:c>
      <x:c r="C5" s="30" t="str">
        <x:f>IF($A5="","",IF(COUNTIFS(Details!$A$5:$A$1004,$A5,Details!$C$5:$C$1004,C$4)=0,"미실행",IF(COUNTIFS(Details!$A$5:$A$1004,$A5,Details!$C$5:$C$1004,C$4,Details!$F$5:$F$1004,"X")&gt;0,"X",IF(COUNTIFS(Details!$A$5:$A$1004,$A5,Details!$C$5:$C$1004,C$4,Details!$F$5:$F$1004,"O")&gt;0,"O","해당없음"))))</x:f>
        <x:v>미실행</x:v>
      </x:c>
      <x:c r="D5" s="30" t="str">
        <x:f>IF($A5="","",IF(COUNTIFS(Details!$A$5:$A$1004,$A5,Details!$C$5:$C$1004,D$4)=0,"미실행",IF(COUNTIFS(Details!$A$5:$A$1004,$A5,Details!$C$5:$C$1004,D$4,Details!$F$5:$F$1004,"X")&gt;0,"X",IF(COUNTIFS(Details!$A$5:$A$1004,$A5,Details!$C$5:$C$1004,D$4,Details!$F$5:$F$1004,"O")&gt;0,"O","해당없음"))))</x:f>
        <x:v>미실행</x:v>
      </x:c>
      <x:c r="E5" s="30" t="str">
        <x:f>IF($A5="","",IF(COUNTIFS(Details!$A$5:$A$1004,$A5,Details!$C$5:$C$1004,E$4)=0,"미실행",IF(COUNTIFS(Details!$A$5:$A$1004,$A5,Details!$C$5:$C$1004,E$4,Details!$F$5:$F$1004,"X")&gt;0,"X",IF(COUNTIFS(Details!$A$5:$A$1004,$A5,Details!$C$5:$C$1004,E$4,Details!$F$5:$F$1004,"O")&gt;0,"O","해당없음"))))</x:f>
        <x:v>미실행</x:v>
      </x:c>
      <x:c r="F5" s="30" t="str">
        <x:f>IF($A5="","",IF(COUNTIFS(Details!$A$5:$A$1004,$A5,Details!$C$5:$C$1004,F$4)=0,"미실행",IF(COUNTIFS(Details!$A$5:$A$1004,$A5,Details!$C$5:$C$1004,F$4,Details!$F$5:$F$1004,"X")&gt;0,"X",IF(COUNTIFS(Details!$A$5:$A$1004,$A5,Details!$C$5:$C$1004,F$4,Details!$F$5:$F$1004,"O")&gt;0,"O","해당없음"))))</x:f>
        <x:v>미실행</x:v>
      </x:c>
      <x:c r="G5" s="30" t="str">
        <x:f>IF($A5="","",IF(COUNTIFS(Details!$A$5:$A$1004,$A5,Details!$C$5:$C$1004,G$4)=0,"미실행",IF(COUNTIFS(Details!$A$5:$A$1004,$A5,Details!$C$5:$C$1004,G$4,Details!$F$5:$F$1004,"X")&gt;0,"X",IF(COUNTIFS(Details!$A$5:$A$1004,$A5,Details!$C$5:$C$1004,G$4,Details!$F$5:$F$1004,"O")&gt;0,"O","해당없음"))))</x:f>
        <x:v>미실행</x:v>
      </x:c>
      <x:c r="H5" s="30" t="str">
        <x:f>IF($A5="","",IF(COUNTIFS(Details!$A$5:$A$1004,$A5,Details!$C$5:$C$1004,H$4)=0,"미실행",IF(COUNTIFS(Details!$A$5:$A$1004,$A5,Details!$C$5:$C$1004,H$4,Details!$F$5:$F$1004,"X")&gt;0,"X",IF(COUNTIFS(Details!$A$5:$A$1004,$A5,Details!$C$5:$C$1004,H$4,Details!$F$5:$F$1004,"O")&gt;0,"O","해당없음"))))</x:f>
        <x:v>미실행</x:v>
      </x:c>
      <x:c r="I5" s="30" t="str">
        <x:f>IF($A5="","",IF(COUNTIFS(Details!$A$5:$A$1004,$A5,Details!$C$5:$C$1004,I$4)=0,"미실행",IF(COUNTIFS(Details!$A$5:$A$1004,$A5,Details!$C$5:$C$1004,I$4,Details!$F$5:$F$1004,"X")&gt;0,"X",IF(COUNTIFS(Details!$A$5:$A$1004,$A5,Details!$C$5:$C$1004,I$4,Details!$F$5:$F$1004,"O")&gt;0,"O","해당없음"))))</x:f>
        <x:v>미실행</x:v>
      </x:c>
      <x:c r="J5" s="30" t="str">
        <x:f>IF($A5="","",IF(COUNTIFS(Details!$A$5:$A$1004,$A5,Details!$C$5:$C$1004,J$4)=0,"미실행",IF(COUNTIFS(Details!$A$5:$A$1004,$A5,Details!$C$5:$C$1004,J$4,Details!$F$5:$F$1004,"X")&gt;0,"X",IF(COUNTIFS(Details!$A$5:$A$1004,$A5,Details!$C$5:$C$1004,J$4,Details!$F$5:$F$1004,"O")&gt;0,"O","해당없음"))))</x:f>
        <x:v>미실행</x:v>
      </x:c>
      <x:c r="K5" s="30" t="str">
        <x:f>IF($A5="","",IF(COUNTIFS(Details!$A$5:$A$1004,$A5,Details!$C$5:$C$1004,K$4)=0,"미실행",IF(COUNTIFS(Details!$A$5:$A$1004,$A5,Details!$C$5:$C$1004,K$4,Details!$F$5:$F$1004,"X")&gt;0,"X",IF(COUNTIFS(Details!$A$5:$A$1004,$A5,Details!$C$5:$C$1004,K$4,Details!$F$5:$F$1004,"O")&gt;0,"O","해당없음"))))</x:f>
        <x:v>미실행</x:v>
      </x:c>
      <x:c r="L5" s="30" t="str">
        <x:f>IF($A5="","",IF(COUNTIFS(Details!$A$5:$A$1004,$A5,Details!$C$5:$C$1004,L$4)=0,"미실행",IF(COUNTIFS(Details!$A$5:$A$1004,$A5,Details!$C$5:$C$1004,L$4,Details!$F$5:$F$1004,"X")&gt;0,"X",IF(COUNTIFS(Details!$A$5:$A$1004,$A5,Details!$C$5:$C$1004,L$4,Details!$F$5:$F$1004,"O")&gt;0,"O","해당없음"))))</x:f>
        <x:v>미실행</x:v>
      </x:c>
      <x:c r="M5" s="30" t="str">
        <x:f>IF($A5="","",IF(COUNTIFS(Details!$A$5:$A$1004,$A5,Details!$C$5:$C$1004,M$4)=0,"미실행",IF(COUNTIFS(Details!$A$5:$A$1004,$A5,Details!$C$5:$C$1004,M$4,Details!$F$5:$F$1004,"X")&gt;0,"X",IF(COUNTIFS(Details!$A$5:$A$1004,$A5,Details!$C$5:$C$1004,M$4,Details!$F$5:$F$1004,"O")&gt;0,"O","해당없음"))))</x:f>
        <x:v>미실행</x:v>
      </x:c>
      <x:c r="N5" s="30" t="str">
        <x:f>IF($A5="","",IF(COUNTIFS(Details!$A$5:$A$1004,$A5,Details!$C$5:$C$1004,N$4)=0,"미실행",IF(COUNTIFS(Details!$A$5:$A$1004,$A5,Details!$C$5:$C$1004,N$4,Details!$F$5:$F$1004,"X")&gt;0,"X",IF(COUNTIFS(Details!$A$5:$A$1004,$A5,Details!$C$5:$C$1004,N$4,Details!$F$5:$F$1004,"O")&gt;0,"O","해당없음"))))</x:f>
        <x:v>미실행</x:v>
      </x:c>
      <x:c r="O5" s="30" t="str">
        <x:f>IF($A5="","",IF(COUNTIFS(Details!$A$5:$A$1004,$A5,Details!$C$5:$C$1004,O$4)=0,"미실행",IF(COUNTIFS(Details!$A$5:$A$1004,$A5,Details!$C$5:$C$1004,O$4,Details!$F$5:$F$1004,"X")&gt;0,"X",IF(COUNTIFS(Details!$A$5:$A$1004,$A5,Details!$C$5:$C$1004,O$4,Details!$F$5:$F$1004,"O")&gt;0,"O","해당없음"))))</x:f>
        <x:v>미실행</x:v>
      </x:c>
      <x:c r="P5" s="30" t="str">
        <x:f>IF($A5="","",IF(COUNTIFS(Details!$A$5:$A$1004,$A5,Details!$C$5:$C$1004,P$4)=0,"미실행",IF(COUNTIFS(Details!$A$5:$A$1004,$A5,Details!$C$5:$C$1004,P$4,Details!$F$5:$F$1004,"X")&gt;0,"X",IF(COUNTIFS(Details!$A$5:$A$1004,$A5,Details!$C$5:$C$1004,P$4,Details!$F$5:$F$1004,"O")&gt;0,"O","해당없음"))))</x:f>
        <x:v>미실행</x:v>
      </x:c>
      <x:c r="Q5" s="30" t="str">
        <x:f>IF($A5="","",IF(COUNTIFS(Details!$A$5:$A$1004,$A5,Details!$C$5:$C$1004,Q$4)=0,"미실행",IF(COUNTIFS(Details!$A$5:$A$1004,$A5,Details!$C$5:$C$1004,Q$4,Details!$F$5:$F$1004,"X")&gt;0,"X",IF(COUNTIFS(Details!$A$5:$A$1004,$A5,Details!$C$5:$C$1004,Q$4,Details!$F$5:$F$1004,"O")&gt;0,"O","해당없음"))))</x:f>
        <x:v>미실행</x:v>
      </x:c>
      <x:c r="R5" s="30" t="str">
        <x:f>IF($A5="","",IF(COUNTIFS(Details!$A$5:$A$1004,$A5,Details!$C$5:$C$1004,R$4)=0,"미실행",IF(COUNTIFS(Details!$A$5:$A$1004,$A5,Details!$C$5:$C$1004,R$4,Details!$F$5:$F$1004,"X")&gt;0,"X",IF(COUNTIFS(Details!$A$5:$A$1004,$A5,Details!$C$5:$C$1004,R$4,Details!$F$5:$F$1004,"O")&gt;0,"O","해당없음"))))</x:f>
        <x:v>미실행</x:v>
      </x:c>
      <x:c r="S5" s="30" t="str">
        <x:f>IF($A5="","",IF(COUNTIFS(Details!$A$5:$A$1004,$A5,Details!$C$5:$C$1004,S$4)=0,"미실행",IF(COUNTIFS(Details!$A$5:$A$1004,$A5,Details!$C$5:$C$1004,S$4,Details!$F$5:$F$1004,"X")&gt;0,"X",IF(COUNTIFS(Details!$A$5:$A$1004,$A5,Details!$C$5:$C$1004,S$4,Details!$F$5:$F$1004,"O")&gt;0,"O","해당없음"))))</x:f>
        <x:v>미실행</x:v>
      </x:c>
      <x:c r="T5" s="30" t="str">
        <x:f>IF($A5="","",IF(COUNTIFS(Details!$A$5:$A$1004,$A5,Details!$C$5:$C$1004,T$4)=0,"미실행",IF(COUNTIFS(Details!$A$5:$A$1004,$A5,Details!$C$5:$C$1004,T$4,Details!$F$5:$F$1004,"X")&gt;0,"X",IF(COUNTIFS(Details!$A$5:$A$1004,$A5,Details!$C$5:$C$1004,T$4,Details!$F$5:$F$1004,"O")&gt;0,"O","해당없음"))))</x:f>
        <x:v>미실행</x:v>
      </x:c>
      <x:c r="U5" s="30" t="str">
        <x:f>IF($A5="","",IF(COUNTIFS(Details!$A$5:$A$1004,$A5,Details!$C$5:$C$1004,U$4)=0,"미실행",IF(COUNTIFS(Details!$A$5:$A$1004,$A5,Details!$C$5:$C$1004,U$4,Details!$F$5:$F$1004,"X")&gt;0,"X",IF(COUNTIFS(Details!$A$5:$A$1004,$A5,Details!$C$5:$C$1004,U$4,Details!$F$5:$F$1004,"O")&gt;0,"O","해당없음"))))</x:f>
        <x:v>미실행</x:v>
      </x:c>
      <x:c r="V5" s="30" t="str">
        <x:f>IF($A5="","",IF(COUNTIFS(Details!$A$5:$A$1004,$A5,Details!$C$5:$C$1004,V$4)=0,"미실행",IF(COUNTIFS(Details!$A$5:$A$1004,$A5,Details!$C$5:$C$1004,V$4,Details!$F$5:$F$1004,"X")&gt;0,"X",IF(COUNTIFS(Details!$A$5:$A$1004,$A5,Details!$C$5:$C$1004,V$4,Details!$F$5:$F$1004,"O")&gt;0,"O","해당없음"))))</x:f>
        <x:v>미실행</x:v>
      </x:c>
      <x:c r="W5" s="30" t="str">
        <x:f>IF($A5="","",IF(COUNTIFS(Details!$A$5:$A$1004,$A5,Details!$C$5:$C$1004,W$4)=0,"미실행",IF(COUNTIFS(Details!$A$5:$A$1004,$A5,Details!$C$5:$C$1004,W$4,Details!$F$5:$F$1004,"X")&gt;0,"X",IF(COUNTIFS(Details!$A$5:$A$1004,$A5,Details!$C$5:$C$1004,W$4,Details!$F$5:$F$1004,"O")&gt;0,"O","해당없음"))))</x:f>
        <x:v>미실행</x:v>
      </x:c>
      <x:c r="X5" s="30" t="str">
        <x:f>IF($A5="","",IF(COUNTIFS(Details!$A$5:$A$1004,$A5,Details!$C$5:$C$1004,X$4)=0,"미실행",IF(COUNTIFS(Details!$A$5:$A$1004,$A5,Details!$C$5:$C$1004,X$4,Details!$F$5:$F$1004,"X")&gt;0,"X",IF(COUNTIFS(Details!$A$5:$A$1004,$A5,Details!$C$5:$C$1004,X$4,Details!$F$5:$F$1004,"O")&gt;0,"O","해당없음"))))</x:f>
        <x:v>미실행</x:v>
      </x:c>
      <x:c r="Y5" s="30" t="str">
        <x:f>IF($A5="","",IF(COUNTIFS(Details!$A$5:$A$1004,$A5,Details!$C$5:$C$1004,Y$4)=0,"미실행",IF(COUNTIFS(Details!$A$5:$A$1004,$A5,Details!$C$5:$C$1004,Y$4,Details!$F$5:$F$1004,"X")&gt;0,"X",IF(COUNTIFS(Details!$A$5:$A$1004,$A5,Details!$C$5:$C$1004,Y$4,Details!$F$5:$F$1004,"O")&gt;0,"O","해당없음"))))</x:f>
        <x:v>미실행</x:v>
      </x:c>
      <x:c r="Z5" s="30" t="str">
        <x:f>IF($A5="","",IF(COUNTIFS(Details!$A$5:$A$1004,$A5,Details!$C$5:$C$1004,Z$4)=0,"미실행",IF(COUNTIFS(Details!$A$5:$A$1004,$A5,Details!$C$5:$C$1004,Z$4,Details!$F$5:$F$1004,"X")&gt;0,"X",IF(COUNTIFS(Details!$A$5:$A$1004,$A5,Details!$C$5:$C$1004,Z$4,Details!$F$5:$F$1004,"O")&gt;0,"O","해당없음"))))</x:f>
        <x:v>미실행</x:v>
      </x:c>
      <x:c r="AA5" s="30" t="str">
        <x:f>IF($A5="","",IF(COUNTIFS(Details!$A$5:$A$1004,$A5,Details!$C$5:$C$1004,AA$4)=0,"미실행",IF(COUNTIFS(Details!$A$5:$A$1004,$A5,Details!$C$5:$C$1004,AA$4,Details!$F$5:$F$1004,"X")&gt;0,"X",IF(COUNTIFS(Details!$A$5:$A$1004,$A5,Details!$C$5:$C$1004,AA$4,Details!$F$5:$F$1004,"O")&gt;0,"O","해당없음"))))</x:f>
        <x:v>미실행</x:v>
      </x:c>
      <x:c r="AB5" s="30" t="str">
        <x:f>IF($A5="","",IF(COUNTIFS(Details!$A$5:$A$1004,$A5,Details!$C$5:$C$1004,AB$4)=0,"미실행",IF(COUNTIFS(Details!$A$5:$A$1004,$A5,Details!$C$5:$C$1004,AB$4,Details!$F$5:$F$1004,"X")&gt;0,"X",IF(COUNTIFS(Details!$A$5:$A$1004,$A5,Details!$C$5:$C$1004,AB$4,Details!$F$5:$F$1004,"O")&gt;0,"O","해당없음"))))</x:f>
        <x:v>미실행</x:v>
      </x:c>
      <x:c r="AC5" s="30" t="str">
        <x:f>IF($A5="","",IF(COUNTIFS(Details!$A$5:$A$1004,$A5,Details!$C$5:$C$1004,AC$4)=0,"미실행",IF(COUNTIFS(Details!$A$5:$A$1004,$A5,Details!$C$5:$C$1004,AC$4,Details!$F$5:$F$1004,"X")&gt;0,"X",IF(COUNTIFS(Details!$A$5:$A$1004,$A5,Details!$C$5:$C$1004,AC$4,Details!$F$5:$F$1004,"O")&gt;0,"O","해당없음"))))</x:f>
        <x:v>미실행</x:v>
      </x:c>
      <x:c r="AD5" s="30" t="str">
        <x:f>IF($A5="","",IF(COUNTIFS(Details!$A$5:$A$1004,$A5,Details!$C$5:$C$1004,AD$4)=0,"미실행",IF(COUNTIFS(Details!$A$5:$A$1004,$A5,Details!$C$5:$C$1004,AD$4,Details!$F$5:$F$1004,"X")&gt;0,"X",IF(COUNTIFS(Details!$A$5:$A$1004,$A5,Details!$C$5:$C$1004,AD$4,Details!$F$5:$F$1004,"O")&gt;0,"O","해당없음"))))</x:f>
        <x:v>미실행</x:v>
      </x:c>
      <x:c r="AE5" s="30" t="str">
        <x:f>IF($A5="","",IF(COUNTIFS(Details!$A$5:$A$1004,$A5,Details!$C$5:$C$1004,AE$4)=0,"미실행",IF(COUNTIFS(Details!$A$5:$A$1004,$A5,Details!$C$5:$C$1004,AE$4,Details!$F$5:$F$1004,"X")&gt;0,"X",IF(COUNTIFS(Details!$A$5:$A$1004,$A5,Details!$C$5:$C$1004,AE$4,Details!$F$5:$F$1004,"O")&gt;0,"O","해당없음"))))</x:f>
        <x:v>미실행</x:v>
      </x:c>
      <x:c r="AF5" s="30" t="n">
        <x:f>COUNTIF(C5:AE5,"O")</x:f>
        <x:v>0</x:v>
      </x:c>
      <x:c r="AG5" s="30" t="n">
        <x:f>COUNTIF(C5:AE5,"X")</x:f>
        <x:v>0</x:v>
      </x:c>
      <x:c r="AH5" s="30" t="n">
        <x:f>COUNTIF(C5:AE5,"미실행")</x:f>
        <x:v>29</x:v>
      </x:c>
    </x:row>
    <x:row r="6">
      <x:c r="A6" s="25" t="str">
        <x:v>D01</x:v>
      </x:c>
      <x:c r="B6" s="25" t="str"/>
      <x:c r="C6" s="30" t="str">
        <x:f>IF($A6="","",IF(COUNTIFS(Details!$A$5:$A$1004,$A6,Details!$C$5:$C$1004,C$4)=0,"미실행",IF(COUNTIFS(Details!$A$5:$A$1004,$A6,Details!$C$5:$C$1004,C$4,Details!$F$5:$F$1004,"X")&gt;0,"X",IF(COUNTIFS(Details!$A$5:$A$1004,$A6,Details!$C$5:$C$1004,C$4,Details!$F$5:$F$1004,"O")&gt;0,"O","해당없음"))))</x:f>
        <x:v>미실행</x:v>
      </x:c>
      <x:c r="D6" s="30" t="str">
        <x:f>IF($A6="","",IF(COUNTIFS(Details!$A$5:$A$1004,$A6,Details!$C$5:$C$1004,D$4)=0,"미실행",IF(COUNTIFS(Details!$A$5:$A$1004,$A6,Details!$C$5:$C$1004,D$4,Details!$F$5:$F$1004,"X")&gt;0,"X",IF(COUNTIFS(Details!$A$5:$A$1004,$A6,Details!$C$5:$C$1004,D$4,Details!$F$5:$F$1004,"O")&gt;0,"O","해당없음"))))</x:f>
        <x:v>미실행</x:v>
      </x:c>
      <x:c r="E6" s="30" t="str">
        <x:f>IF($A6="","",IF(COUNTIFS(Details!$A$5:$A$1004,$A6,Details!$C$5:$C$1004,E$4)=0,"미실행",IF(COUNTIFS(Details!$A$5:$A$1004,$A6,Details!$C$5:$C$1004,E$4,Details!$F$5:$F$1004,"X")&gt;0,"X",IF(COUNTIFS(Details!$A$5:$A$1004,$A6,Details!$C$5:$C$1004,E$4,Details!$F$5:$F$1004,"O")&gt;0,"O","해당없음"))))</x:f>
        <x:v>미실행</x:v>
      </x:c>
      <x:c r="F6" s="30" t="str">
        <x:f>IF($A6="","",IF(COUNTIFS(Details!$A$5:$A$1004,$A6,Details!$C$5:$C$1004,F$4)=0,"미실행",IF(COUNTIFS(Details!$A$5:$A$1004,$A6,Details!$C$5:$C$1004,F$4,Details!$F$5:$F$1004,"X")&gt;0,"X",IF(COUNTIFS(Details!$A$5:$A$1004,$A6,Details!$C$5:$C$1004,F$4,Details!$F$5:$F$1004,"O")&gt;0,"O","해당없음"))))</x:f>
        <x:v>미실행</x:v>
      </x:c>
      <x:c r="G6" s="30" t="str">
        <x:f>IF($A6="","",IF(COUNTIFS(Details!$A$5:$A$1004,$A6,Details!$C$5:$C$1004,G$4)=0,"미실행",IF(COUNTIFS(Details!$A$5:$A$1004,$A6,Details!$C$5:$C$1004,G$4,Details!$F$5:$F$1004,"X")&gt;0,"X",IF(COUNTIFS(Details!$A$5:$A$1004,$A6,Details!$C$5:$C$1004,G$4,Details!$F$5:$F$1004,"O")&gt;0,"O","해당없음"))))</x:f>
        <x:v>미실행</x:v>
      </x:c>
      <x:c r="H6" s="30" t="str">
        <x:f>IF($A6="","",IF(COUNTIFS(Details!$A$5:$A$1004,$A6,Details!$C$5:$C$1004,H$4)=0,"미실행",IF(COUNTIFS(Details!$A$5:$A$1004,$A6,Details!$C$5:$C$1004,H$4,Details!$F$5:$F$1004,"X")&gt;0,"X",IF(COUNTIFS(Details!$A$5:$A$1004,$A6,Details!$C$5:$C$1004,H$4,Details!$F$5:$F$1004,"O")&gt;0,"O","해당없음"))))</x:f>
        <x:v>미실행</x:v>
      </x:c>
      <x:c r="I6" s="30" t="str">
        <x:f>IF($A6="","",IF(COUNTIFS(Details!$A$5:$A$1004,$A6,Details!$C$5:$C$1004,I$4)=0,"미실행",IF(COUNTIFS(Details!$A$5:$A$1004,$A6,Details!$C$5:$C$1004,I$4,Details!$F$5:$F$1004,"X")&gt;0,"X",IF(COUNTIFS(Details!$A$5:$A$1004,$A6,Details!$C$5:$C$1004,I$4,Details!$F$5:$F$1004,"O")&gt;0,"O","해당없음"))))</x:f>
        <x:v>미실행</x:v>
      </x:c>
      <x:c r="J6" s="30" t="str">
        <x:f>IF($A6="","",IF(COUNTIFS(Details!$A$5:$A$1004,$A6,Details!$C$5:$C$1004,J$4)=0,"미실행",IF(COUNTIFS(Details!$A$5:$A$1004,$A6,Details!$C$5:$C$1004,J$4,Details!$F$5:$F$1004,"X")&gt;0,"X",IF(COUNTIFS(Details!$A$5:$A$1004,$A6,Details!$C$5:$C$1004,J$4,Details!$F$5:$F$1004,"O")&gt;0,"O","해당없음"))))</x:f>
        <x:v>미실행</x:v>
      </x:c>
      <x:c r="K6" s="30" t="str">
        <x:f>IF($A6="","",IF(COUNTIFS(Details!$A$5:$A$1004,$A6,Details!$C$5:$C$1004,K$4)=0,"미실행",IF(COUNTIFS(Details!$A$5:$A$1004,$A6,Details!$C$5:$C$1004,K$4,Details!$F$5:$F$1004,"X")&gt;0,"X",IF(COUNTIFS(Details!$A$5:$A$1004,$A6,Details!$C$5:$C$1004,K$4,Details!$F$5:$F$1004,"O")&gt;0,"O","해당없음"))))</x:f>
        <x:v>미실행</x:v>
      </x:c>
      <x:c r="L6" s="30" t="str">
        <x:f>IF($A6="","",IF(COUNTIFS(Details!$A$5:$A$1004,$A6,Details!$C$5:$C$1004,L$4)=0,"미실행",IF(COUNTIFS(Details!$A$5:$A$1004,$A6,Details!$C$5:$C$1004,L$4,Details!$F$5:$F$1004,"X")&gt;0,"X",IF(COUNTIFS(Details!$A$5:$A$1004,$A6,Details!$C$5:$C$1004,L$4,Details!$F$5:$F$1004,"O")&gt;0,"O","해당없음"))))</x:f>
        <x:v>미실행</x:v>
      </x:c>
      <x:c r="M6" s="30" t="str">
        <x:f>IF($A6="","",IF(COUNTIFS(Details!$A$5:$A$1004,$A6,Details!$C$5:$C$1004,M$4)=0,"미실행",IF(COUNTIFS(Details!$A$5:$A$1004,$A6,Details!$C$5:$C$1004,M$4,Details!$F$5:$F$1004,"X")&gt;0,"X",IF(COUNTIFS(Details!$A$5:$A$1004,$A6,Details!$C$5:$C$1004,M$4,Details!$F$5:$F$1004,"O")&gt;0,"O","해당없음"))))</x:f>
        <x:v>미실행</x:v>
      </x:c>
      <x:c r="N6" s="30" t="str">
        <x:f>IF($A6="","",IF(COUNTIFS(Details!$A$5:$A$1004,$A6,Details!$C$5:$C$1004,N$4)=0,"미실행",IF(COUNTIFS(Details!$A$5:$A$1004,$A6,Details!$C$5:$C$1004,N$4,Details!$F$5:$F$1004,"X")&gt;0,"X",IF(COUNTIFS(Details!$A$5:$A$1004,$A6,Details!$C$5:$C$1004,N$4,Details!$F$5:$F$1004,"O")&gt;0,"O","해당없음"))))</x:f>
        <x:v>미실행</x:v>
      </x:c>
      <x:c r="O6" s="30" t="str">
        <x:f>IF($A6="","",IF(COUNTIFS(Details!$A$5:$A$1004,$A6,Details!$C$5:$C$1004,O$4)=0,"미실행",IF(COUNTIFS(Details!$A$5:$A$1004,$A6,Details!$C$5:$C$1004,O$4,Details!$F$5:$F$1004,"X")&gt;0,"X",IF(COUNTIFS(Details!$A$5:$A$1004,$A6,Details!$C$5:$C$1004,O$4,Details!$F$5:$F$1004,"O")&gt;0,"O","해당없음"))))</x:f>
        <x:v>미실행</x:v>
      </x:c>
      <x:c r="P6" s="30" t="str">
        <x:f>IF($A6="","",IF(COUNTIFS(Details!$A$5:$A$1004,$A6,Details!$C$5:$C$1004,P$4)=0,"미실행",IF(COUNTIFS(Details!$A$5:$A$1004,$A6,Details!$C$5:$C$1004,P$4,Details!$F$5:$F$1004,"X")&gt;0,"X",IF(COUNTIFS(Details!$A$5:$A$1004,$A6,Details!$C$5:$C$1004,P$4,Details!$F$5:$F$1004,"O")&gt;0,"O","해당없음"))))</x:f>
        <x:v>미실행</x:v>
      </x:c>
      <x:c r="Q6" s="30" t="str">
        <x:f>IF($A6="","",IF(COUNTIFS(Details!$A$5:$A$1004,$A6,Details!$C$5:$C$1004,Q$4)=0,"미실행",IF(COUNTIFS(Details!$A$5:$A$1004,$A6,Details!$C$5:$C$1004,Q$4,Details!$F$5:$F$1004,"X")&gt;0,"X",IF(COUNTIFS(Details!$A$5:$A$1004,$A6,Details!$C$5:$C$1004,Q$4,Details!$F$5:$F$1004,"O")&gt;0,"O","해당없음"))))</x:f>
        <x:v>미실행</x:v>
      </x:c>
      <x:c r="R6" s="30" t="str">
        <x:f>IF($A6="","",IF(COUNTIFS(Details!$A$5:$A$1004,$A6,Details!$C$5:$C$1004,R$4)=0,"미실행",IF(COUNTIFS(Details!$A$5:$A$1004,$A6,Details!$C$5:$C$1004,R$4,Details!$F$5:$F$1004,"X")&gt;0,"X",IF(COUNTIFS(Details!$A$5:$A$1004,$A6,Details!$C$5:$C$1004,R$4,Details!$F$5:$F$1004,"O")&gt;0,"O","해당없음"))))</x:f>
        <x:v>미실행</x:v>
      </x:c>
      <x:c r="S6" s="30" t="str">
        <x:f>IF($A6="","",IF(COUNTIFS(Details!$A$5:$A$1004,$A6,Details!$C$5:$C$1004,S$4)=0,"미실행",IF(COUNTIFS(Details!$A$5:$A$1004,$A6,Details!$C$5:$C$1004,S$4,Details!$F$5:$F$1004,"X")&gt;0,"X",IF(COUNTIFS(Details!$A$5:$A$1004,$A6,Details!$C$5:$C$1004,S$4,Details!$F$5:$F$1004,"O")&gt;0,"O","해당없음"))))</x:f>
        <x:v>미실행</x:v>
      </x:c>
      <x:c r="T6" s="30" t="str">
        <x:f>IF($A6="","",IF(COUNTIFS(Details!$A$5:$A$1004,$A6,Details!$C$5:$C$1004,T$4)=0,"미실행",IF(COUNTIFS(Details!$A$5:$A$1004,$A6,Details!$C$5:$C$1004,T$4,Details!$F$5:$F$1004,"X")&gt;0,"X",IF(COUNTIFS(Details!$A$5:$A$1004,$A6,Details!$C$5:$C$1004,T$4,Details!$F$5:$F$1004,"O")&gt;0,"O","해당없음"))))</x:f>
        <x:v>미실행</x:v>
      </x:c>
      <x:c r="U6" s="30" t="str">
        <x:f>IF($A6="","",IF(COUNTIFS(Details!$A$5:$A$1004,$A6,Details!$C$5:$C$1004,U$4)=0,"미실행",IF(COUNTIFS(Details!$A$5:$A$1004,$A6,Details!$C$5:$C$1004,U$4,Details!$F$5:$F$1004,"X")&gt;0,"X",IF(COUNTIFS(Details!$A$5:$A$1004,$A6,Details!$C$5:$C$1004,U$4,Details!$F$5:$F$1004,"O")&gt;0,"O","해당없음"))))</x:f>
        <x:v>미실행</x:v>
      </x:c>
      <x:c r="V6" s="30" t="str">
        <x:f>IF($A6="","",IF(COUNTIFS(Details!$A$5:$A$1004,$A6,Details!$C$5:$C$1004,V$4)=0,"미실행",IF(COUNTIFS(Details!$A$5:$A$1004,$A6,Details!$C$5:$C$1004,V$4,Details!$F$5:$F$1004,"X")&gt;0,"X",IF(COUNTIFS(Details!$A$5:$A$1004,$A6,Details!$C$5:$C$1004,V$4,Details!$F$5:$F$1004,"O")&gt;0,"O","해당없음"))))</x:f>
        <x:v>미실행</x:v>
      </x:c>
      <x:c r="W6" s="30" t="str">
        <x:f>IF($A6="","",IF(COUNTIFS(Details!$A$5:$A$1004,$A6,Details!$C$5:$C$1004,W$4)=0,"미실행",IF(COUNTIFS(Details!$A$5:$A$1004,$A6,Details!$C$5:$C$1004,W$4,Details!$F$5:$F$1004,"X")&gt;0,"X",IF(COUNTIFS(Details!$A$5:$A$1004,$A6,Details!$C$5:$C$1004,W$4,Details!$F$5:$F$1004,"O")&gt;0,"O","해당없음"))))</x:f>
        <x:v>미실행</x:v>
      </x:c>
      <x:c r="X6" s="30" t="str">
        <x:f>IF($A6="","",IF(COUNTIFS(Details!$A$5:$A$1004,$A6,Details!$C$5:$C$1004,X$4)=0,"미실행",IF(COUNTIFS(Details!$A$5:$A$1004,$A6,Details!$C$5:$C$1004,X$4,Details!$F$5:$F$1004,"X")&gt;0,"X",IF(COUNTIFS(Details!$A$5:$A$1004,$A6,Details!$C$5:$C$1004,X$4,Details!$F$5:$F$1004,"O")&gt;0,"O","해당없음"))))</x:f>
        <x:v>미실행</x:v>
      </x:c>
      <x:c r="Y6" s="30" t="str">
        <x:f>IF($A6="","",IF(COUNTIFS(Details!$A$5:$A$1004,$A6,Details!$C$5:$C$1004,Y$4)=0,"미실행",IF(COUNTIFS(Details!$A$5:$A$1004,$A6,Details!$C$5:$C$1004,Y$4,Details!$F$5:$F$1004,"X")&gt;0,"X",IF(COUNTIFS(Details!$A$5:$A$1004,$A6,Details!$C$5:$C$1004,Y$4,Details!$F$5:$F$1004,"O")&gt;0,"O","해당없음"))))</x:f>
        <x:v>미실행</x:v>
      </x:c>
      <x:c r="Z6" s="30" t="str">
        <x:f>IF($A6="","",IF(COUNTIFS(Details!$A$5:$A$1004,$A6,Details!$C$5:$C$1004,Z$4)=0,"미실행",IF(COUNTIFS(Details!$A$5:$A$1004,$A6,Details!$C$5:$C$1004,Z$4,Details!$F$5:$F$1004,"X")&gt;0,"X",IF(COUNTIFS(Details!$A$5:$A$1004,$A6,Details!$C$5:$C$1004,Z$4,Details!$F$5:$F$1004,"O")&gt;0,"O","해당없음"))))</x:f>
        <x:v>미실행</x:v>
      </x:c>
      <x:c r="AA6" s="30" t="str">
        <x:f>IF($A6="","",IF(COUNTIFS(Details!$A$5:$A$1004,$A6,Details!$C$5:$C$1004,AA$4)=0,"미실행",IF(COUNTIFS(Details!$A$5:$A$1004,$A6,Details!$C$5:$C$1004,AA$4,Details!$F$5:$F$1004,"X")&gt;0,"X",IF(COUNTIFS(Details!$A$5:$A$1004,$A6,Details!$C$5:$C$1004,AA$4,Details!$F$5:$F$1004,"O")&gt;0,"O","해당없음"))))</x:f>
        <x:v>미실행</x:v>
      </x:c>
      <x:c r="AB6" s="30" t="str">
        <x:f>IF($A6="","",IF(COUNTIFS(Details!$A$5:$A$1004,$A6,Details!$C$5:$C$1004,AB$4)=0,"미실행",IF(COUNTIFS(Details!$A$5:$A$1004,$A6,Details!$C$5:$C$1004,AB$4,Details!$F$5:$F$1004,"X")&gt;0,"X",IF(COUNTIFS(Details!$A$5:$A$1004,$A6,Details!$C$5:$C$1004,AB$4,Details!$F$5:$F$1004,"O")&gt;0,"O","해당없음"))))</x:f>
        <x:v>미실행</x:v>
      </x:c>
      <x:c r="AC6" s="30" t="str">
        <x:f>IF($A6="","",IF(COUNTIFS(Details!$A$5:$A$1004,$A6,Details!$C$5:$C$1004,AC$4)=0,"미실행",IF(COUNTIFS(Details!$A$5:$A$1004,$A6,Details!$C$5:$C$1004,AC$4,Details!$F$5:$F$1004,"X")&gt;0,"X",IF(COUNTIFS(Details!$A$5:$A$1004,$A6,Details!$C$5:$C$1004,AC$4,Details!$F$5:$F$1004,"O")&gt;0,"O","해당없음"))))</x:f>
        <x:v>미실행</x:v>
      </x:c>
      <x:c r="AD6" s="30" t="str">
        <x:f>IF($A6="","",IF(COUNTIFS(Details!$A$5:$A$1004,$A6,Details!$C$5:$C$1004,AD$4)=0,"미실행",IF(COUNTIFS(Details!$A$5:$A$1004,$A6,Details!$C$5:$C$1004,AD$4,Details!$F$5:$F$1004,"X")&gt;0,"X",IF(COUNTIFS(Details!$A$5:$A$1004,$A6,Details!$C$5:$C$1004,AD$4,Details!$F$5:$F$1004,"O")&gt;0,"O","해당없음"))))</x:f>
        <x:v>미실행</x:v>
      </x:c>
      <x:c r="AE6" s="30" t="str">
        <x:f>IF($A6="","",IF(COUNTIFS(Details!$A$5:$A$1004,$A6,Details!$C$5:$C$1004,AE$4)=0,"미실행",IF(COUNTIFS(Details!$A$5:$A$1004,$A6,Details!$C$5:$C$1004,AE$4,Details!$F$5:$F$1004,"X")&gt;0,"X",IF(COUNTIFS(Details!$A$5:$A$1004,$A6,Details!$C$5:$C$1004,AE$4,Details!$F$5:$F$1004,"O")&gt;0,"O","해당없음"))))</x:f>
        <x:v>미실행</x:v>
      </x:c>
      <x:c r="AF6" s="30" t="n">
        <x:f>COUNTIF(C6:AE6,"O")</x:f>
        <x:v>0</x:v>
      </x:c>
      <x:c r="AG6" s="30" t="n">
        <x:f>COUNTIF(C6:AE6,"X")</x:f>
        <x:v>0</x:v>
      </x:c>
      <x:c r="AH6" s="30" t="n">
        <x:f>COUNTIF(C6:AE6,"미실행")</x:f>
        <x:v>29</x:v>
      </x:c>
    </x:row>
    <x:row r="7">
      <x:c r="A7" s="25" t="str">
        <x:v>D02</x:v>
      </x:c>
      <x:c r="B7" s="25" t="str"/>
      <x:c r="C7" s="30" t="str">
        <x:f>IF($A7="","",IF(COUNTIFS(Details!$A$5:$A$1004,$A7,Details!$C$5:$C$1004,C$4)=0,"미실행",IF(COUNTIFS(Details!$A$5:$A$1004,$A7,Details!$C$5:$C$1004,C$4,Details!$F$5:$F$1004,"X")&gt;0,"X",IF(COUNTIFS(Details!$A$5:$A$1004,$A7,Details!$C$5:$C$1004,C$4,Details!$F$5:$F$1004,"O")&gt;0,"O","해당없음"))))</x:f>
        <x:v>미실행</x:v>
      </x:c>
      <x:c r="D7" s="30" t="str">
        <x:f>IF($A7="","",IF(COUNTIFS(Details!$A$5:$A$1004,$A7,Details!$C$5:$C$1004,D$4)=0,"미실행",IF(COUNTIFS(Details!$A$5:$A$1004,$A7,Details!$C$5:$C$1004,D$4,Details!$F$5:$F$1004,"X")&gt;0,"X",IF(COUNTIFS(Details!$A$5:$A$1004,$A7,Details!$C$5:$C$1004,D$4,Details!$F$5:$F$1004,"O")&gt;0,"O","해당없음"))))</x:f>
        <x:v>미실행</x:v>
      </x:c>
      <x:c r="E7" s="30" t="str">
        <x:f>IF($A7="","",IF(COUNTIFS(Details!$A$5:$A$1004,$A7,Details!$C$5:$C$1004,E$4)=0,"미실행",IF(COUNTIFS(Details!$A$5:$A$1004,$A7,Details!$C$5:$C$1004,E$4,Details!$F$5:$F$1004,"X")&gt;0,"X",IF(COUNTIFS(Details!$A$5:$A$1004,$A7,Details!$C$5:$C$1004,E$4,Details!$F$5:$F$1004,"O")&gt;0,"O","해당없음"))))</x:f>
        <x:v>미실행</x:v>
      </x:c>
      <x:c r="F7" s="30" t="str">
        <x:f>IF($A7="","",IF(COUNTIFS(Details!$A$5:$A$1004,$A7,Details!$C$5:$C$1004,F$4)=0,"미실행",IF(COUNTIFS(Details!$A$5:$A$1004,$A7,Details!$C$5:$C$1004,F$4,Details!$F$5:$F$1004,"X")&gt;0,"X",IF(COUNTIFS(Details!$A$5:$A$1004,$A7,Details!$C$5:$C$1004,F$4,Details!$F$5:$F$1004,"O")&gt;0,"O","해당없음"))))</x:f>
        <x:v>미실행</x:v>
      </x:c>
      <x:c r="G7" s="30" t="str">
        <x:f>IF($A7="","",IF(COUNTIFS(Details!$A$5:$A$1004,$A7,Details!$C$5:$C$1004,G$4)=0,"미실행",IF(COUNTIFS(Details!$A$5:$A$1004,$A7,Details!$C$5:$C$1004,G$4,Details!$F$5:$F$1004,"X")&gt;0,"X",IF(COUNTIFS(Details!$A$5:$A$1004,$A7,Details!$C$5:$C$1004,G$4,Details!$F$5:$F$1004,"O")&gt;0,"O","해당없음"))))</x:f>
        <x:v>미실행</x:v>
      </x:c>
      <x:c r="H7" s="30" t="str">
        <x:f>IF($A7="","",IF(COUNTIFS(Details!$A$5:$A$1004,$A7,Details!$C$5:$C$1004,H$4)=0,"미실행",IF(COUNTIFS(Details!$A$5:$A$1004,$A7,Details!$C$5:$C$1004,H$4,Details!$F$5:$F$1004,"X")&gt;0,"X",IF(COUNTIFS(Details!$A$5:$A$1004,$A7,Details!$C$5:$C$1004,H$4,Details!$F$5:$F$1004,"O")&gt;0,"O","해당없음"))))</x:f>
        <x:v>미실행</x:v>
      </x:c>
      <x:c r="I7" s="30" t="str">
        <x:f>IF($A7="","",IF(COUNTIFS(Details!$A$5:$A$1004,$A7,Details!$C$5:$C$1004,I$4)=0,"미실행",IF(COUNTIFS(Details!$A$5:$A$1004,$A7,Details!$C$5:$C$1004,I$4,Details!$F$5:$F$1004,"X")&gt;0,"X",IF(COUNTIFS(Details!$A$5:$A$1004,$A7,Details!$C$5:$C$1004,I$4,Details!$F$5:$F$1004,"O")&gt;0,"O","해당없음"))))</x:f>
        <x:v>미실행</x:v>
      </x:c>
      <x:c r="J7" s="30" t="str">
        <x:f>IF($A7="","",IF(COUNTIFS(Details!$A$5:$A$1004,$A7,Details!$C$5:$C$1004,J$4)=0,"미실행",IF(COUNTIFS(Details!$A$5:$A$1004,$A7,Details!$C$5:$C$1004,J$4,Details!$F$5:$F$1004,"X")&gt;0,"X",IF(COUNTIFS(Details!$A$5:$A$1004,$A7,Details!$C$5:$C$1004,J$4,Details!$F$5:$F$1004,"O")&gt;0,"O","해당없음"))))</x:f>
        <x:v>미실행</x:v>
      </x:c>
      <x:c r="K7" s="30" t="str">
        <x:f>IF($A7="","",IF(COUNTIFS(Details!$A$5:$A$1004,$A7,Details!$C$5:$C$1004,K$4)=0,"미실행",IF(COUNTIFS(Details!$A$5:$A$1004,$A7,Details!$C$5:$C$1004,K$4,Details!$F$5:$F$1004,"X")&gt;0,"X",IF(COUNTIFS(Details!$A$5:$A$1004,$A7,Details!$C$5:$C$1004,K$4,Details!$F$5:$F$1004,"O")&gt;0,"O","해당없음"))))</x:f>
        <x:v>미실행</x:v>
      </x:c>
      <x:c r="L7" s="30" t="str">
        <x:f>IF($A7="","",IF(COUNTIFS(Details!$A$5:$A$1004,$A7,Details!$C$5:$C$1004,L$4)=0,"미실행",IF(COUNTIFS(Details!$A$5:$A$1004,$A7,Details!$C$5:$C$1004,L$4,Details!$F$5:$F$1004,"X")&gt;0,"X",IF(COUNTIFS(Details!$A$5:$A$1004,$A7,Details!$C$5:$C$1004,L$4,Details!$F$5:$F$1004,"O")&gt;0,"O","해당없음"))))</x:f>
        <x:v>미실행</x:v>
      </x:c>
      <x:c r="M7" s="30" t="str">
        <x:f>IF($A7="","",IF(COUNTIFS(Details!$A$5:$A$1004,$A7,Details!$C$5:$C$1004,M$4)=0,"미실행",IF(COUNTIFS(Details!$A$5:$A$1004,$A7,Details!$C$5:$C$1004,M$4,Details!$F$5:$F$1004,"X")&gt;0,"X",IF(COUNTIFS(Details!$A$5:$A$1004,$A7,Details!$C$5:$C$1004,M$4,Details!$F$5:$F$1004,"O")&gt;0,"O","해당없음"))))</x:f>
        <x:v>미실행</x:v>
      </x:c>
      <x:c r="N7" s="30" t="str">
        <x:f>IF($A7="","",IF(COUNTIFS(Details!$A$5:$A$1004,$A7,Details!$C$5:$C$1004,N$4)=0,"미실행",IF(COUNTIFS(Details!$A$5:$A$1004,$A7,Details!$C$5:$C$1004,N$4,Details!$F$5:$F$1004,"X")&gt;0,"X",IF(COUNTIFS(Details!$A$5:$A$1004,$A7,Details!$C$5:$C$1004,N$4,Details!$F$5:$F$1004,"O")&gt;0,"O","해당없음"))))</x:f>
        <x:v>미실행</x:v>
      </x:c>
      <x:c r="O7" s="30" t="str">
        <x:f>IF($A7="","",IF(COUNTIFS(Details!$A$5:$A$1004,$A7,Details!$C$5:$C$1004,O$4)=0,"미실행",IF(COUNTIFS(Details!$A$5:$A$1004,$A7,Details!$C$5:$C$1004,O$4,Details!$F$5:$F$1004,"X")&gt;0,"X",IF(COUNTIFS(Details!$A$5:$A$1004,$A7,Details!$C$5:$C$1004,O$4,Details!$F$5:$F$1004,"O")&gt;0,"O","해당없음"))))</x:f>
        <x:v>미실행</x:v>
      </x:c>
      <x:c r="P7" s="30" t="str">
        <x:f>IF($A7="","",IF(COUNTIFS(Details!$A$5:$A$1004,$A7,Details!$C$5:$C$1004,P$4)=0,"미실행",IF(COUNTIFS(Details!$A$5:$A$1004,$A7,Details!$C$5:$C$1004,P$4,Details!$F$5:$F$1004,"X")&gt;0,"X",IF(COUNTIFS(Details!$A$5:$A$1004,$A7,Details!$C$5:$C$1004,P$4,Details!$F$5:$F$1004,"O")&gt;0,"O","해당없음"))))</x:f>
        <x:v>미실행</x:v>
      </x:c>
      <x:c r="Q7" s="30" t="str">
        <x:f>IF($A7="","",IF(COUNTIFS(Details!$A$5:$A$1004,$A7,Details!$C$5:$C$1004,Q$4)=0,"미실행",IF(COUNTIFS(Details!$A$5:$A$1004,$A7,Details!$C$5:$C$1004,Q$4,Details!$F$5:$F$1004,"X")&gt;0,"X",IF(COUNTIFS(Details!$A$5:$A$1004,$A7,Details!$C$5:$C$1004,Q$4,Details!$F$5:$F$1004,"O")&gt;0,"O","해당없음"))))</x:f>
        <x:v>미실행</x:v>
      </x:c>
      <x:c r="R7" s="30" t="str">
        <x:f>IF($A7="","",IF(COUNTIFS(Details!$A$5:$A$1004,$A7,Details!$C$5:$C$1004,R$4)=0,"미실행",IF(COUNTIFS(Details!$A$5:$A$1004,$A7,Details!$C$5:$C$1004,R$4,Details!$F$5:$F$1004,"X")&gt;0,"X",IF(COUNTIFS(Details!$A$5:$A$1004,$A7,Details!$C$5:$C$1004,R$4,Details!$F$5:$F$1004,"O")&gt;0,"O","해당없음"))))</x:f>
        <x:v>미실행</x:v>
      </x:c>
      <x:c r="S7" s="30" t="str">
        <x:f>IF($A7="","",IF(COUNTIFS(Details!$A$5:$A$1004,$A7,Details!$C$5:$C$1004,S$4)=0,"미실행",IF(COUNTIFS(Details!$A$5:$A$1004,$A7,Details!$C$5:$C$1004,S$4,Details!$F$5:$F$1004,"X")&gt;0,"X",IF(COUNTIFS(Details!$A$5:$A$1004,$A7,Details!$C$5:$C$1004,S$4,Details!$F$5:$F$1004,"O")&gt;0,"O","해당없음"))))</x:f>
        <x:v>미실행</x:v>
      </x:c>
      <x:c r="T7" s="30" t="str">
        <x:f>IF($A7="","",IF(COUNTIFS(Details!$A$5:$A$1004,$A7,Details!$C$5:$C$1004,T$4)=0,"미실행",IF(COUNTIFS(Details!$A$5:$A$1004,$A7,Details!$C$5:$C$1004,T$4,Details!$F$5:$F$1004,"X")&gt;0,"X",IF(COUNTIFS(Details!$A$5:$A$1004,$A7,Details!$C$5:$C$1004,T$4,Details!$F$5:$F$1004,"O")&gt;0,"O","해당없음"))))</x:f>
        <x:v>미실행</x:v>
      </x:c>
      <x:c r="U7" s="30" t="str">
        <x:f>IF($A7="","",IF(COUNTIFS(Details!$A$5:$A$1004,$A7,Details!$C$5:$C$1004,U$4)=0,"미실행",IF(COUNTIFS(Details!$A$5:$A$1004,$A7,Details!$C$5:$C$1004,U$4,Details!$F$5:$F$1004,"X")&gt;0,"X",IF(COUNTIFS(Details!$A$5:$A$1004,$A7,Details!$C$5:$C$1004,U$4,Details!$F$5:$F$1004,"O")&gt;0,"O","해당없음"))))</x:f>
        <x:v>미실행</x:v>
      </x:c>
      <x:c r="V7" s="30" t="str">
        <x:f>IF($A7="","",IF(COUNTIFS(Details!$A$5:$A$1004,$A7,Details!$C$5:$C$1004,V$4)=0,"미실행",IF(COUNTIFS(Details!$A$5:$A$1004,$A7,Details!$C$5:$C$1004,V$4,Details!$F$5:$F$1004,"X")&gt;0,"X",IF(COUNTIFS(Details!$A$5:$A$1004,$A7,Details!$C$5:$C$1004,V$4,Details!$F$5:$F$1004,"O")&gt;0,"O","해당없음"))))</x:f>
        <x:v>미실행</x:v>
      </x:c>
      <x:c r="W7" s="30" t="str">
        <x:f>IF($A7="","",IF(COUNTIFS(Details!$A$5:$A$1004,$A7,Details!$C$5:$C$1004,W$4)=0,"미실행",IF(COUNTIFS(Details!$A$5:$A$1004,$A7,Details!$C$5:$C$1004,W$4,Details!$F$5:$F$1004,"X")&gt;0,"X",IF(COUNTIFS(Details!$A$5:$A$1004,$A7,Details!$C$5:$C$1004,W$4,Details!$F$5:$F$1004,"O")&gt;0,"O","해당없음"))))</x:f>
        <x:v>미실행</x:v>
      </x:c>
      <x:c r="X7" s="30" t="str">
        <x:f>IF($A7="","",IF(COUNTIFS(Details!$A$5:$A$1004,$A7,Details!$C$5:$C$1004,X$4)=0,"미실행",IF(COUNTIFS(Details!$A$5:$A$1004,$A7,Details!$C$5:$C$1004,X$4,Details!$F$5:$F$1004,"X")&gt;0,"X",IF(COUNTIFS(Details!$A$5:$A$1004,$A7,Details!$C$5:$C$1004,X$4,Details!$F$5:$F$1004,"O")&gt;0,"O","해당없음"))))</x:f>
        <x:v>미실행</x:v>
      </x:c>
      <x:c r="Y7" s="30" t="str">
        <x:f>IF($A7="","",IF(COUNTIFS(Details!$A$5:$A$1004,$A7,Details!$C$5:$C$1004,Y$4)=0,"미실행",IF(COUNTIFS(Details!$A$5:$A$1004,$A7,Details!$C$5:$C$1004,Y$4,Details!$F$5:$F$1004,"X")&gt;0,"X",IF(COUNTIFS(Details!$A$5:$A$1004,$A7,Details!$C$5:$C$1004,Y$4,Details!$F$5:$F$1004,"O")&gt;0,"O","해당없음"))))</x:f>
        <x:v>미실행</x:v>
      </x:c>
      <x:c r="Z7" s="30" t="str">
        <x:f>IF($A7="","",IF(COUNTIFS(Details!$A$5:$A$1004,$A7,Details!$C$5:$C$1004,Z$4)=0,"미실행",IF(COUNTIFS(Details!$A$5:$A$1004,$A7,Details!$C$5:$C$1004,Z$4,Details!$F$5:$F$1004,"X")&gt;0,"X",IF(COUNTIFS(Details!$A$5:$A$1004,$A7,Details!$C$5:$C$1004,Z$4,Details!$F$5:$F$1004,"O")&gt;0,"O","해당없음"))))</x:f>
        <x:v>미실행</x:v>
      </x:c>
      <x:c r="AA7" s="30" t="str">
        <x:f>IF($A7="","",IF(COUNTIFS(Details!$A$5:$A$1004,$A7,Details!$C$5:$C$1004,AA$4)=0,"미실행",IF(COUNTIFS(Details!$A$5:$A$1004,$A7,Details!$C$5:$C$1004,AA$4,Details!$F$5:$F$1004,"X")&gt;0,"X",IF(COUNTIFS(Details!$A$5:$A$1004,$A7,Details!$C$5:$C$1004,AA$4,Details!$F$5:$F$1004,"O")&gt;0,"O","해당없음"))))</x:f>
        <x:v>미실행</x:v>
      </x:c>
      <x:c r="AB7" s="30" t="str">
        <x:f>IF($A7="","",IF(COUNTIFS(Details!$A$5:$A$1004,$A7,Details!$C$5:$C$1004,AB$4)=0,"미실행",IF(COUNTIFS(Details!$A$5:$A$1004,$A7,Details!$C$5:$C$1004,AB$4,Details!$F$5:$F$1004,"X")&gt;0,"X",IF(COUNTIFS(Details!$A$5:$A$1004,$A7,Details!$C$5:$C$1004,AB$4,Details!$F$5:$F$1004,"O")&gt;0,"O","해당없음"))))</x:f>
        <x:v>미실행</x:v>
      </x:c>
      <x:c r="AC7" s="30" t="str">
        <x:f>IF($A7="","",IF(COUNTIFS(Details!$A$5:$A$1004,$A7,Details!$C$5:$C$1004,AC$4)=0,"미실행",IF(COUNTIFS(Details!$A$5:$A$1004,$A7,Details!$C$5:$C$1004,AC$4,Details!$F$5:$F$1004,"X")&gt;0,"X",IF(COUNTIFS(Details!$A$5:$A$1004,$A7,Details!$C$5:$C$1004,AC$4,Details!$F$5:$F$1004,"O")&gt;0,"O","해당없음"))))</x:f>
        <x:v>미실행</x:v>
      </x:c>
      <x:c r="AD7" s="30" t="str">
        <x:f>IF($A7="","",IF(COUNTIFS(Details!$A$5:$A$1004,$A7,Details!$C$5:$C$1004,AD$4)=0,"미실행",IF(COUNTIFS(Details!$A$5:$A$1004,$A7,Details!$C$5:$C$1004,AD$4,Details!$F$5:$F$1004,"X")&gt;0,"X",IF(COUNTIFS(Details!$A$5:$A$1004,$A7,Details!$C$5:$C$1004,AD$4,Details!$F$5:$F$1004,"O")&gt;0,"O","해당없음"))))</x:f>
        <x:v>미실행</x:v>
      </x:c>
      <x:c r="AE7" s="30" t="str">
        <x:f>IF($A7="","",IF(COUNTIFS(Details!$A$5:$A$1004,$A7,Details!$C$5:$C$1004,AE$4)=0,"미실행",IF(COUNTIFS(Details!$A$5:$A$1004,$A7,Details!$C$5:$C$1004,AE$4,Details!$F$5:$F$1004,"X")&gt;0,"X",IF(COUNTIFS(Details!$A$5:$A$1004,$A7,Details!$C$5:$C$1004,AE$4,Details!$F$5:$F$1004,"O")&gt;0,"O","해당없음"))))</x:f>
        <x:v>미실행</x:v>
      </x:c>
      <x:c r="AF7" s="30" t="n">
        <x:f>COUNTIF(C7:AE7,"O")</x:f>
        <x:v>0</x:v>
      </x:c>
      <x:c r="AG7" s="30" t="n">
        <x:f>COUNTIF(C7:AE7,"X")</x:f>
        <x:v>0</x:v>
      </x:c>
      <x:c r="AH7" s="30" t="n">
        <x:f>COUNTIF(C7:AE7,"미실행")</x:f>
        <x:v>29</x:v>
      </x:c>
    </x:row>
    <x:row r="8">
      <x:c r="A8" s="25" t="str">
        <x:v>D03</x:v>
      </x:c>
      <x:c r="B8" s="25" t="str"/>
      <x:c r="C8" s="30" t="str">
        <x:f>IF($A8="","",IF(COUNTIFS(Details!$A$5:$A$1004,$A8,Details!$C$5:$C$1004,C$4)=0,"미실행",IF(COUNTIFS(Details!$A$5:$A$1004,$A8,Details!$C$5:$C$1004,C$4,Details!$F$5:$F$1004,"X")&gt;0,"X",IF(COUNTIFS(Details!$A$5:$A$1004,$A8,Details!$C$5:$C$1004,C$4,Details!$F$5:$F$1004,"O")&gt;0,"O","해당없음"))))</x:f>
        <x:v>미실행</x:v>
      </x:c>
      <x:c r="D8" s="30" t="str">
        <x:f>IF($A8="","",IF(COUNTIFS(Details!$A$5:$A$1004,$A8,Details!$C$5:$C$1004,D$4)=0,"미실행",IF(COUNTIFS(Details!$A$5:$A$1004,$A8,Details!$C$5:$C$1004,D$4,Details!$F$5:$F$1004,"X")&gt;0,"X",IF(COUNTIFS(Details!$A$5:$A$1004,$A8,Details!$C$5:$C$1004,D$4,Details!$F$5:$F$1004,"O")&gt;0,"O","해당없음"))))</x:f>
        <x:v>미실행</x:v>
      </x:c>
      <x:c r="E8" s="30" t="str">
        <x:f>IF($A8="","",IF(COUNTIFS(Details!$A$5:$A$1004,$A8,Details!$C$5:$C$1004,E$4)=0,"미실행",IF(COUNTIFS(Details!$A$5:$A$1004,$A8,Details!$C$5:$C$1004,E$4,Details!$F$5:$F$1004,"X")&gt;0,"X",IF(COUNTIFS(Details!$A$5:$A$1004,$A8,Details!$C$5:$C$1004,E$4,Details!$F$5:$F$1004,"O")&gt;0,"O","해당없음"))))</x:f>
        <x:v>미실행</x:v>
      </x:c>
      <x:c r="F8" s="30" t="str">
        <x:f>IF($A8="","",IF(COUNTIFS(Details!$A$5:$A$1004,$A8,Details!$C$5:$C$1004,F$4)=0,"미실행",IF(COUNTIFS(Details!$A$5:$A$1004,$A8,Details!$C$5:$C$1004,F$4,Details!$F$5:$F$1004,"X")&gt;0,"X",IF(COUNTIFS(Details!$A$5:$A$1004,$A8,Details!$C$5:$C$1004,F$4,Details!$F$5:$F$1004,"O")&gt;0,"O","해당없음"))))</x:f>
        <x:v>미실행</x:v>
      </x:c>
      <x:c r="G8" s="30" t="str">
        <x:f>IF($A8="","",IF(COUNTIFS(Details!$A$5:$A$1004,$A8,Details!$C$5:$C$1004,G$4)=0,"미실행",IF(COUNTIFS(Details!$A$5:$A$1004,$A8,Details!$C$5:$C$1004,G$4,Details!$F$5:$F$1004,"X")&gt;0,"X",IF(COUNTIFS(Details!$A$5:$A$1004,$A8,Details!$C$5:$C$1004,G$4,Details!$F$5:$F$1004,"O")&gt;0,"O","해당없음"))))</x:f>
        <x:v>미실행</x:v>
      </x:c>
      <x:c r="H8" s="30" t="str">
        <x:f>IF($A8="","",IF(COUNTIFS(Details!$A$5:$A$1004,$A8,Details!$C$5:$C$1004,H$4)=0,"미실행",IF(COUNTIFS(Details!$A$5:$A$1004,$A8,Details!$C$5:$C$1004,H$4,Details!$F$5:$F$1004,"X")&gt;0,"X",IF(COUNTIFS(Details!$A$5:$A$1004,$A8,Details!$C$5:$C$1004,H$4,Details!$F$5:$F$1004,"O")&gt;0,"O","해당없음"))))</x:f>
        <x:v>미실행</x:v>
      </x:c>
      <x:c r="I8" s="30" t="str">
        <x:f>IF($A8="","",IF(COUNTIFS(Details!$A$5:$A$1004,$A8,Details!$C$5:$C$1004,I$4)=0,"미실행",IF(COUNTIFS(Details!$A$5:$A$1004,$A8,Details!$C$5:$C$1004,I$4,Details!$F$5:$F$1004,"X")&gt;0,"X",IF(COUNTIFS(Details!$A$5:$A$1004,$A8,Details!$C$5:$C$1004,I$4,Details!$F$5:$F$1004,"O")&gt;0,"O","해당없음"))))</x:f>
        <x:v>미실행</x:v>
      </x:c>
      <x:c r="J8" s="30" t="str">
        <x:f>IF($A8="","",IF(COUNTIFS(Details!$A$5:$A$1004,$A8,Details!$C$5:$C$1004,J$4)=0,"미실행",IF(COUNTIFS(Details!$A$5:$A$1004,$A8,Details!$C$5:$C$1004,J$4,Details!$F$5:$F$1004,"X")&gt;0,"X",IF(COUNTIFS(Details!$A$5:$A$1004,$A8,Details!$C$5:$C$1004,J$4,Details!$F$5:$F$1004,"O")&gt;0,"O","해당없음"))))</x:f>
        <x:v>미실행</x:v>
      </x:c>
      <x:c r="K8" s="30" t="str">
        <x:f>IF($A8="","",IF(COUNTIFS(Details!$A$5:$A$1004,$A8,Details!$C$5:$C$1004,K$4)=0,"미실행",IF(COUNTIFS(Details!$A$5:$A$1004,$A8,Details!$C$5:$C$1004,K$4,Details!$F$5:$F$1004,"X")&gt;0,"X",IF(COUNTIFS(Details!$A$5:$A$1004,$A8,Details!$C$5:$C$1004,K$4,Details!$F$5:$F$1004,"O")&gt;0,"O","해당없음"))))</x:f>
        <x:v>미실행</x:v>
      </x:c>
      <x:c r="L8" s="30" t="str">
        <x:f>IF($A8="","",IF(COUNTIFS(Details!$A$5:$A$1004,$A8,Details!$C$5:$C$1004,L$4)=0,"미실행",IF(COUNTIFS(Details!$A$5:$A$1004,$A8,Details!$C$5:$C$1004,L$4,Details!$F$5:$F$1004,"X")&gt;0,"X",IF(COUNTIFS(Details!$A$5:$A$1004,$A8,Details!$C$5:$C$1004,L$4,Details!$F$5:$F$1004,"O")&gt;0,"O","해당없음"))))</x:f>
        <x:v>미실행</x:v>
      </x:c>
      <x:c r="M8" s="30" t="str">
        <x:f>IF($A8="","",IF(COUNTIFS(Details!$A$5:$A$1004,$A8,Details!$C$5:$C$1004,M$4)=0,"미실행",IF(COUNTIFS(Details!$A$5:$A$1004,$A8,Details!$C$5:$C$1004,M$4,Details!$F$5:$F$1004,"X")&gt;0,"X",IF(COUNTIFS(Details!$A$5:$A$1004,$A8,Details!$C$5:$C$1004,M$4,Details!$F$5:$F$1004,"O")&gt;0,"O","해당없음"))))</x:f>
        <x:v>미실행</x:v>
      </x:c>
      <x:c r="N8" s="30" t="str">
        <x:f>IF($A8="","",IF(COUNTIFS(Details!$A$5:$A$1004,$A8,Details!$C$5:$C$1004,N$4)=0,"미실행",IF(COUNTIFS(Details!$A$5:$A$1004,$A8,Details!$C$5:$C$1004,N$4,Details!$F$5:$F$1004,"X")&gt;0,"X",IF(COUNTIFS(Details!$A$5:$A$1004,$A8,Details!$C$5:$C$1004,N$4,Details!$F$5:$F$1004,"O")&gt;0,"O","해당없음"))))</x:f>
        <x:v>미실행</x:v>
      </x:c>
      <x:c r="O8" s="30" t="str">
        <x:f>IF($A8="","",IF(COUNTIFS(Details!$A$5:$A$1004,$A8,Details!$C$5:$C$1004,O$4)=0,"미실행",IF(COUNTIFS(Details!$A$5:$A$1004,$A8,Details!$C$5:$C$1004,O$4,Details!$F$5:$F$1004,"X")&gt;0,"X",IF(COUNTIFS(Details!$A$5:$A$1004,$A8,Details!$C$5:$C$1004,O$4,Details!$F$5:$F$1004,"O")&gt;0,"O","해당없음"))))</x:f>
        <x:v>미실행</x:v>
      </x:c>
      <x:c r="P8" s="30" t="str">
        <x:f>IF($A8="","",IF(COUNTIFS(Details!$A$5:$A$1004,$A8,Details!$C$5:$C$1004,P$4)=0,"미실행",IF(COUNTIFS(Details!$A$5:$A$1004,$A8,Details!$C$5:$C$1004,P$4,Details!$F$5:$F$1004,"X")&gt;0,"X",IF(COUNTIFS(Details!$A$5:$A$1004,$A8,Details!$C$5:$C$1004,P$4,Details!$F$5:$F$1004,"O")&gt;0,"O","해당없음"))))</x:f>
        <x:v>미실행</x:v>
      </x:c>
      <x:c r="Q8" s="30" t="str">
        <x:f>IF($A8="","",IF(COUNTIFS(Details!$A$5:$A$1004,$A8,Details!$C$5:$C$1004,Q$4)=0,"미실행",IF(COUNTIFS(Details!$A$5:$A$1004,$A8,Details!$C$5:$C$1004,Q$4,Details!$F$5:$F$1004,"X")&gt;0,"X",IF(COUNTIFS(Details!$A$5:$A$1004,$A8,Details!$C$5:$C$1004,Q$4,Details!$F$5:$F$1004,"O")&gt;0,"O","해당없음"))))</x:f>
        <x:v>미실행</x:v>
      </x:c>
      <x:c r="R8" s="30" t="str">
        <x:f>IF($A8="","",IF(COUNTIFS(Details!$A$5:$A$1004,$A8,Details!$C$5:$C$1004,R$4)=0,"미실행",IF(COUNTIFS(Details!$A$5:$A$1004,$A8,Details!$C$5:$C$1004,R$4,Details!$F$5:$F$1004,"X")&gt;0,"X",IF(COUNTIFS(Details!$A$5:$A$1004,$A8,Details!$C$5:$C$1004,R$4,Details!$F$5:$F$1004,"O")&gt;0,"O","해당없음"))))</x:f>
        <x:v>미실행</x:v>
      </x:c>
      <x:c r="S8" s="30" t="str">
        <x:f>IF($A8="","",IF(COUNTIFS(Details!$A$5:$A$1004,$A8,Details!$C$5:$C$1004,S$4)=0,"미실행",IF(COUNTIFS(Details!$A$5:$A$1004,$A8,Details!$C$5:$C$1004,S$4,Details!$F$5:$F$1004,"X")&gt;0,"X",IF(COUNTIFS(Details!$A$5:$A$1004,$A8,Details!$C$5:$C$1004,S$4,Details!$F$5:$F$1004,"O")&gt;0,"O","해당없음"))))</x:f>
        <x:v>미실행</x:v>
      </x:c>
      <x:c r="T8" s="30" t="str">
        <x:f>IF($A8="","",IF(COUNTIFS(Details!$A$5:$A$1004,$A8,Details!$C$5:$C$1004,T$4)=0,"미실행",IF(COUNTIFS(Details!$A$5:$A$1004,$A8,Details!$C$5:$C$1004,T$4,Details!$F$5:$F$1004,"X")&gt;0,"X",IF(COUNTIFS(Details!$A$5:$A$1004,$A8,Details!$C$5:$C$1004,T$4,Details!$F$5:$F$1004,"O")&gt;0,"O","해당없음"))))</x:f>
        <x:v>미실행</x:v>
      </x:c>
      <x:c r="U8" s="30" t="str">
        <x:f>IF($A8="","",IF(COUNTIFS(Details!$A$5:$A$1004,$A8,Details!$C$5:$C$1004,U$4)=0,"미실행",IF(COUNTIFS(Details!$A$5:$A$1004,$A8,Details!$C$5:$C$1004,U$4,Details!$F$5:$F$1004,"X")&gt;0,"X",IF(COUNTIFS(Details!$A$5:$A$1004,$A8,Details!$C$5:$C$1004,U$4,Details!$F$5:$F$1004,"O")&gt;0,"O","해당없음"))))</x:f>
        <x:v>미실행</x:v>
      </x:c>
      <x:c r="V8" s="30" t="str">
        <x:f>IF($A8="","",IF(COUNTIFS(Details!$A$5:$A$1004,$A8,Details!$C$5:$C$1004,V$4)=0,"미실행",IF(COUNTIFS(Details!$A$5:$A$1004,$A8,Details!$C$5:$C$1004,V$4,Details!$F$5:$F$1004,"X")&gt;0,"X",IF(COUNTIFS(Details!$A$5:$A$1004,$A8,Details!$C$5:$C$1004,V$4,Details!$F$5:$F$1004,"O")&gt;0,"O","해당없음"))))</x:f>
        <x:v>미실행</x:v>
      </x:c>
      <x:c r="W8" s="30" t="str">
        <x:f>IF($A8="","",IF(COUNTIFS(Details!$A$5:$A$1004,$A8,Details!$C$5:$C$1004,W$4)=0,"미실행",IF(COUNTIFS(Details!$A$5:$A$1004,$A8,Details!$C$5:$C$1004,W$4,Details!$F$5:$F$1004,"X")&gt;0,"X",IF(COUNTIFS(Details!$A$5:$A$1004,$A8,Details!$C$5:$C$1004,W$4,Details!$F$5:$F$1004,"O")&gt;0,"O","해당없음"))))</x:f>
        <x:v>미실행</x:v>
      </x:c>
      <x:c r="X8" s="30" t="str">
        <x:f>IF($A8="","",IF(COUNTIFS(Details!$A$5:$A$1004,$A8,Details!$C$5:$C$1004,X$4)=0,"미실행",IF(COUNTIFS(Details!$A$5:$A$1004,$A8,Details!$C$5:$C$1004,X$4,Details!$F$5:$F$1004,"X")&gt;0,"X",IF(COUNTIFS(Details!$A$5:$A$1004,$A8,Details!$C$5:$C$1004,X$4,Details!$F$5:$F$1004,"O")&gt;0,"O","해당없음"))))</x:f>
        <x:v>미실행</x:v>
      </x:c>
      <x:c r="Y8" s="30" t="str">
        <x:f>IF($A8="","",IF(COUNTIFS(Details!$A$5:$A$1004,$A8,Details!$C$5:$C$1004,Y$4)=0,"미실행",IF(COUNTIFS(Details!$A$5:$A$1004,$A8,Details!$C$5:$C$1004,Y$4,Details!$F$5:$F$1004,"X")&gt;0,"X",IF(COUNTIFS(Details!$A$5:$A$1004,$A8,Details!$C$5:$C$1004,Y$4,Details!$F$5:$F$1004,"O")&gt;0,"O","해당없음"))))</x:f>
        <x:v>미실행</x:v>
      </x:c>
      <x:c r="Z8" s="30" t="str">
        <x:f>IF($A8="","",IF(COUNTIFS(Details!$A$5:$A$1004,$A8,Details!$C$5:$C$1004,Z$4)=0,"미실행",IF(COUNTIFS(Details!$A$5:$A$1004,$A8,Details!$C$5:$C$1004,Z$4,Details!$F$5:$F$1004,"X")&gt;0,"X",IF(COUNTIFS(Details!$A$5:$A$1004,$A8,Details!$C$5:$C$1004,Z$4,Details!$F$5:$F$1004,"O")&gt;0,"O","해당없음"))))</x:f>
        <x:v>미실행</x:v>
      </x:c>
      <x:c r="AA8" s="30" t="str">
        <x:f>IF($A8="","",IF(COUNTIFS(Details!$A$5:$A$1004,$A8,Details!$C$5:$C$1004,AA$4)=0,"미실행",IF(COUNTIFS(Details!$A$5:$A$1004,$A8,Details!$C$5:$C$1004,AA$4,Details!$F$5:$F$1004,"X")&gt;0,"X",IF(COUNTIFS(Details!$A$5:$A$1004,$A8,Details!$C$5:$C$1004,AA$4,Details!$F$5:$F$1004,"O")&gt;0,"O","해당없음"))))</x:f>
        <x:v>미실행</x:v>
      </x:c>
      <x:c r="AB8" s="30" t="str">
        <x:f>IF($A8="","",IF(COUNTIFS(Details!$A$5:$A$1004,$A8,Details!$C$5:$C$1004,AB$4)=0,"미실행",IF(COUNTIFS(Details!$A$5:$A$1004,$A8,Details!$C$5:$C$1004,AB$4,Details!$F$5:$F$1004,"X")&gt;0,"X",IF(COUNTIFS(Details!$A$5:$A$1004,$A8,Details!$C$5:$C$1004,AB$4,Details!$F$5:$F$1004,"O")&gt;0,"O","해당없음"))))</x:f>
        <x:v>미실행</x:v>
      </x:c>
      <x:c r="AC8" s="30" t="str">
        <x:f>IF($A8="","",IF(COUNTIFS(Details!$A$5:$A$1004,$A8,Details!$C$5:$C$1004,AC$4)=0,"미실행",IF(COUNTIFS(Details!$A$5:$A$1004,$A8,Details!$C$5:$C$1004,AC$4,Details!$F$5:$F$1004,"X")&gt;0,"X",IF(COUNTIFS(Details!$A$5:$A$1004,$A8,Details!$C$5:$C$1004,AC$4,Details!$F$5:$F$1004,"O")&gt;0,"O","해당없음"))))</x:f>
        <x:v>미실행</x:v>
      </x:c>
      <x:c r="AD8" s="30" t="str">
        <x:f>IF($A8="","",IF(COUNTIFS(Details!$A$5:$A$1004,$A8,Details!$C$5:$C$1004,AD$4)=0,"미실행",IF(COUNTIFS(Details!$A$5:$A$1004,$A8,Details!$C$5:$C$1004,AD$4,Details!$F$5:$F$1004,"X")&gt;0,"X",IF(COUNTIFS(Details!$A$5:$A$1004,$A8,Details!$C$5:$C$1004,AD$4,Details!$F$5:$F$1004,"O")&gt;0,"O","해당없음"))))</x:f>
        <x:v>미실행</x:v>
      </x:c>
      <x:c r="AE8" s="30" t="str">
        <x:f>IF($A8="","",IF(COUNTIFS(Details!$A$5:$A$1004,$A8,Details!$C$5:$C$1004,AE$4)=0,"미실행",IF(COUNTIFS(Details!$A$5:$A$1004,$A8,Details!$C$5:$C$1004,AE$4,Details!$F$5:$F$1004,"X")&gt;0,"X",IF(COUNTIFS(Details!$A$5:$A$1004,$A8,Details!$C$5:$C$1004,AE$4,Details!$F$5:$F$1004,"O")&gt;0,"O","해당없음"))))</x:f>
        <x:v>미실행</x:v>
      </x:c>
      <x:c r="AF8" s="30" t="n">
        <x:f>COUNTIF(C8:AE8,"O")</x:f>
        <x:v>0</x:v>
      </x:c>
      <x:c r="AG8" s="30" t="n">
        <x:f>COUNTIF(C8:AE8,"X")</x:f>
        <x:v>0</x:v>
      </x:c>
      <x:c r="AH8" s="30" t="n">
        <x:f>COUNTIF(C8:AE8,"미실행")</x:f>
        <x:v>29</x:v>
      </x:c>
    </x:row>
    <x:row r="9">
      <x:c r="A9" s="25" t="str">
        <x:v>D04</x:v>
      </x:c>
      <x:c r="B9" s="25" t="str"/>
      <x:c r="C9" s="30" t="str">
        <x:f>IF($A9="","",IF(COUNTIFS(Details!$A$5:$A$1004,$A9,Details!$C$5:$C$1004,C$4)=0,"미실행",IF(COUNTIFS(Details!$A$5:$A$1004,$A9,Details!$C$5:$C$1004,C$4,Details!$F$5:$F$1004,"X")&gt;0,"X",IF(COUNTIFS(Details!$A$5:$A$1004,$A9,Details!$C$5:$C$1004,C$4,Details!$F$5:$F$1004,"O")&gt;0,"O","해당없음"))))</x:f>
        <x:v>미실행</x:v>
      </x:c>
      <x:c r="D9" s="30" t="str">
        <x:f>IF($A9="","",IF(COUNTIFS(Details!$A$5:$A$1004,$A9,Details!$C$5:$C$1004,D$4)=0,"미실행",IF(COUNTIFS(Details!$A$5:$A$1004,$A9,Details!$C$5:$C$1004,D$4,Details!$F$5:$F$1004,"X")&gt;0,"X",IF(COUNTIFS(Details!$A$5:$A$1004,$A9,Details!$C$5:$C$1004,D$4,Details!$F$5:$F$1004,"O")&gt;0,"O","해당없음"))))</x:f>
        <x:v>미실행</x:v>
      </x:c>
      <x:c r="E9" s="30" t="str">
        <x:f>IF($A9="","",IF(COUNTIFS(Details!$A$5:$A$1004,$A9,Details!$C$5:$C$1004,E$4)=0,"미실행",IF(COUNTIFS(Details!$A$5:$A$1004,$A9,Details!$C$5:$C$1004,E$4,Details!$F$5:$F$1004,"X")&gt;0,"X",IF(COUNTIFS(Details!$A$5:$A$1004,$A9,Details!$C$5:$C$1004,E$4,Details!$F$5:$F$1004,"O")&gt;0,"O","해당없음"))))</x:f>
        <x:v>미실행</x:v>
      </x:c>
      <x:c r="F9" s="30" t="str">
        <x:f>IF($A9="","",IF(COUNTIFS(Details!$A$5:$A$1004,$A9,Details!$C$5:$C$1004,F$4)=0,"미실행",IF(COUNTIFS(Details!$A$5:$A$1004,$A9,Details!$C$5:$C$1004,F$4,Details!$F$5:$F$1004,"X")&gt;0,"X",IF(COUNTIFS(Details!$A$5:$A$1004,$A9,Details!$C$5:$C$1004,F$4,Details!$F$5:$F$1004,"O")&gt;0,"O","해당없음"))))</x:f>
        <x:v>미실행</x:v>
      </x:c>
      <x:c r="G9" s="30" t="str">
        <x:f>IF($A9="","",IF(COUNTIFS(Details!$A$5:$A$1004,$A9,Details!$C$5:$C$1004,G$4)=0,"미실행",IF(COUNTIFS(Details!$A$5:$A$1004,$A9,Details!$C$5:$C$1004,G$4,Details!$F$5:$F$1004,"X")&gt;0,"X",IF(COUNTIFS(Details!$A$5:$A$1004,$A9,Details!$C$5:$C$1004,G$4,Details!$F$5:$F$1004,"O")&gt;0,"O","해당없음"))))</x:f>
        <x:v>미실행</x:v>
      </x:c>
      <x:c r="H9" s="30" t="str">
        <x:f>IF($A9="","",IF(COUNTIFS(Details!$A$5:$A$1004,$A9,Details!$C$5:$C$1004,H$4)=0,"미실행",IF(COUNTIFS(Details!$A$5:$A$1004,$A9,Details!$C$5:$C$1004,H$4,Details!$F$5:$F$1004,"X")&gt;0,"X",IF(COUNTIFS(Details!$A$5:$A$1004,$A9,Details!$C$5:$C$1004,H$4,Details!$F$5:$F$1004,"O")&gt;0,"O","해당없음"))))</x:f>
        <x:v>미실행</x:v>
      </x:c>
      <x:c r="I9" s="30" t="str">
        <x:f>IF($A9="","",IF(COUNTIFS(Details!$A$5:$A$1004,$A9,Details!$C$5:$C$1004,I$4)=0,"미실행",IF(COUNTIFS(Details!$A$5:$A$1004,$A9,Details!$C$5:$C$1004,I$4,Details!$F$5:$F$1004,"X")&gt;0,"X",IF(COUNTIFS(Details!$A$5:$A$1004,$A9,Details!$C$5:$C$1004,I$4,Details!$F$5:$F$1004,"O")&gt;0,"O","해당없음"))))</x:f>
        <x:v>미실행</x:v>
      </x:c>
      <x:c r="J9" s="30" t="str">
        <x:f>IF($A9="","",IF(COUNTIFS(Details!$A$5:$A$1004,$A9,Details!$C$5:$C$1004,J$4)=0,"미실행",IF(COUNTIFS(Details!$A$5:$A$1004,$A9,Details!$C$5:$C$1004,J$4,Details!$F$5:$F$1004,"X")&gt;0,"X",IF(COUNTIFS(Details!$A$5:$A$1004,$A9,Details!$C$5:$C$1004,J$4,Details!$F$5:$F$1004,"O")&gt;0,"O","해당없음"))))</x:f>
        <x:v>미실행</x:v>
      </x:c>
      <x:c r="K9" s="30" t="str">
        <x:f>IF($A9="","",IF(COUNTIFS(Details!$A$5:$A$1004,$A9,Details!$C$5:$C$1004,K$4)=0,"미실행",IF(COUNTIFS(Details!$A$5:$A$1004,$A9,Details!$C$5:$C$1004,K$4,Details!$F$5:$F$1004,"X")&gt;0,"X",IF(COUNTIFS(Details!$A$5:$A$1004,$A9,Details!$C$5:$C$1004,K$4,Details!$F$5:$F$1004,"O")&gt;0,"O","해당없음"))))</x:f>
        <x:v>미실행</x:v>
      </x:c>
      <x:c r="L9" s="30" t="str">
        <x:f>IF($A9="","",IF(COUNTIFS(Details!$A$5:$A$1004,$A9,Details!$C$5:$C$1004,L$4)=0,"미실행",IF(COUNTIFS(Details!$A$5:$A$1004,$A9,Details!$C$5:$C$1004,L$4,Details!$F$5:$F$1004,"X")&gt;0,"X",IF(COUNTIFS(Details!$A$5:$A$1004,$A9,Details!$C$5:$C$1004,L$4,Details!$F$5:$F$1004,"O")&gt;0,"O","해당없음"))))</x:f>
        <x:v>미실행</x:v>
      </x:c>
      <x:c r="M9" s="30" t="str">
        <x:f>IF($A9="","",IF(COUNTIFS(Details!$A$5:$A$1004,$A9,Details!$C$5:$C$1004,M$4)=0,"미실행",IF(COUNTIFS(Details!$A$5:$A$1004,$A9,Details!$C$5:$C$1004,M$4,Details!$F$5:$F$1004,"X")&gt;0,"X",IF(COUNTIFS(Details!$A$5:$A$1004,$A9,Details!$C$5:$C$1004,M$4,Details!$F$5:$F$1004,"O")&gt;0,"O","해당없음"))))</x:f>
        <x:v>미실행</x:v>
      </x:c>
      <x:c r="N9" s="30" t="str">
        <x:f>IF($A9="","",IF(COUNTIFS(Details!$A$5:$A$1004,$A9,Details!$C$5:$C$1004,N$4)=0,"미실행",IF(COUNTIFS(Details!$A$5:$A$1004,$A9,Details!$C$5:$C$1004,N$4,Details!$F$5:$F$1004,"X")&gt;0,"X",IF(COUNTIFS(Details!$A$5:$A$1004,$A9,Details!$C$5:$C$1004,N$4,Details!$F$5:$F$1004,"O")&gt;0,"O","해당없음"))))</x:f>
        <x:v>미실행</x:v>
      </x:c>
      <x:c r="O9" s="30" t="str">
        <x:f>IF($A9="","",IF(COUNTIFS(Details!$A$5:$A$1004,$A9,Details!$C$5:$C$1004,O$4)=0,"미실행",IF(COUNTIFS(Details!$A$5:$A$1004,$A9,Details!$C$5:$C$1004,O$4,Details!$F$5:$F$1004,"X")&gt;0,"X",IF(COUNTIFS(Details!$A$5:$A$1004,$A9,Details!$C$5:$C$1004,O$4,Details!$F$5:$F$1004,"O")&gt;0,"O","해당없음"))))</x:f>
        <x:v>미실행</x:v>
      </x:c>
      <x:c r="P9" s="30" t="str">
        <x:f>IF($A9="","",IF(COUNTIFS(Details!$A$5:$A$1004,$A9,Details!$C$5:$C$1004,P$4)=0,"미실행",IF(COUNTIFS(Details!$A$5:$A$1004,$A9,Details!$C$5:$C$1004,P$4,Details!$F$5:$F$1004,"X")&gt;0,"X",IF(COUNTIFS(Details!$A$5:$A$1004,$A9,Details!$C$5:$C$1004,P$4,Details!$F$5:$F$1004,"O")&gt;0,"O","해당없음"))))</x:f>
        <x:v>미실행</x:v>
      </x:c>
      <x:c r="Q9" s="30" t="str">
        <x:f>IF($A9="","",IF(COUNTIFS(Details!$A$5:$A$1004,$A9,Details!$C$5:$C$1004,Q$4)=0,"미실행",IF(COUNTIFS(Details!$A$5:$A$1004,$A9,Details!$C$5:$C$1004,Q$4,Details!$F$5:$F$1004,"X")&gt;0,"X",IF(COUNTIFS(Details!$A$5:$A$1004,$A9,Details!$C$5:$C$1004,Q$4,Details!$F$5:$F$1004,"O")&gt;0,"O","해당없음"))))</x:f>
        <x:v>미실행</x:v>
      </x:c>
      <x:c r="R9" s="30" t="str">
        <x:f>IF($A9="","",IF(COUNTIFS(Details!$A$5:$A$1004,$A9,Details!$C$5:$C$1004,R$4)=0,"미실행",IF(COUNTIFS(Details!$A$5:$A$1004,$A9,Details!$C$5:$C$1004,R$4,Details!$F$5:$F$1004,"X")&gt;0,"X",IF(COUNTIFS(Details!$A$5:$A$1004,$A9,Details!$C$5:$C$1004,R$4,Details!$F$5:$F$1004,"O")&gt;0,"O","해당없음"))))</x:f>
        <x:v>미실행</x:v>
      </x:c>
      <x:c r="S9" s="30" t="str">
        <x:f>IF($A9="","",IF(COUNTIFS(Details!$A$5:$A$1004,$A9,Details!$C$5:$C$1004,S$4)=0,"미실행",IF(COUNTIFS(Details!$A$5:$A$1004,$A9,Details!$C$5:$C$1004,S$4,Details!$F$5:$F$1004,"X")&gt;0,"X",IF(COUNTIFS(Details!$A$5:$A$1004,$A9,Details!$C$5:$C$1004,S$4,Details!$F$5:$F$1004,"O")&gt;0,"O","해당없음"))))</x:f>
        <x:v>미실행</x:v>
      </x:c>
      <x:c r="T9" s="30" t="str">
        <x:f>IF($A9="","",IF(COUNTIFS(Details!$A$5:$A$1004,$A9,Details!$C$5:$C$1004,T$4)=0,"미실행",IF(COUNTIFS(Details!$A$5:$A$1004,$A9,Details!$C$5:$C$1004,T$4,Details!$F$5:$F$1004,"X")&gt;0,"X",IF(COUNTIFS(Details!$A$5:$A$1004,$A9,Details!$C$5:$C$1004,T$4,Details!$F$5:$F$1004,"O")&gt;0,"O","해당없음"))))</x:f>
        <x:v>미실행</x:v>
      </x:c>
      <x:c r="U9" s="30" t="str">
        <x:f>IF($A9="","",IF(COUNTIFS(Details!$A$5:$A$1004,$A9,Details!$C$5:$C$1004,U$4)=0,"미실행",IF(COUNTIFS(Details!$A$5:$A$1004,$A9,Details!$C$5:$C$1004,U$4,Details!$F$5:$F$1004,"X")&gt;0,"X",IF(COUNTIFS(Details!$A$5:$A$1004,$A9,Details!$C$5:$C$1004,U$4,Details!$F$5:$F$1004,"O")&gt;0,"O","해당없음"))))</x:f>
        <x:v>미실행</x:v>
      </x:c>
      <x:c r="V9" s="30" t="str">
        <x:f>IF($A9="","",IF(COUNTIFS(Details!$A$5:$A$1004,$A9,Details!$C$5:$C$1004,V$4)=0,"미실행",IF(COUNTIFS(Details!$A$5:$A$1004,$A9,Details!$C$5:$C$1004,V$4,Details!$F$5:$F$1004,"X")&gt;0,"X",IF(COUNTIFS(Details!$A$5:$A$1004,$A9,Details!$C$5:$C$1004,V$4,Details!$F$5:$F$1004,"O")&gt;0,"O","해당없음"))))</x:f>
        <x:v>미실행</x:v>
      </x:c>
      <x:c r="W9" s="30" t="str">
        <x:f>IF($A9="","",IF(COUNTIFS(Details!$A$5:$A$1004,$A9,Details!$C$5:$C$1004,W$4)=0,"미실행",IF(COUNTIFS(Details!$A$5:$A$1004,$A9,Details!$C$5:$C$1004,W$4,Details!$F$5:$F$1004,"X")&gt;0,"X",IF(COUNTIFS(Details!$A$5:$A$1004,$A9,Details!$C$5:$C$1004,W$4,Details!$F$5:$F$1004,"O")&gt;0,"O","해당없음"))))</x:f>
        <x:v>미실행</x:v>
      </x:c>
      <x:c r="X9" s="30" t="str">
        <x:f>IF($A9="","",IF(COUNTIFS(Details!$A$5:$A$1004,$A9,Details!$C$5:$C$1004,X$4)=0,"미실행",IF(COUNTIFS(Details!$A$5:$A$1004,$A9,Details!$C$5:$C$1004,X$4,Details!$F$5:$F$1004,"X")&gt;0,"X",IF(COUNTIFS(Details!$A$5:$A$1004,$A9,Details!$C$5:$C$1004,X$4,Details!$F$5:$F$1004,"O")&gt;0,"O","해당없음"))))</x:f>
        <x:v>미실행</x:v>
      </x:c>
      <x:c r="Y9" s="30" t="str">
        <x:f>IF($A9="","",IF(COUNTIFS(Details!$A$5:$A$1004,$A9,Details!$C$5:$C$1004,Y$4)=0,"미실행",IF(COUNTIFS(Details!$A$5:$A$1004,$A9,Details!$C$5:$C$1004,Y$4,Details!$F$5:$F$1004,"X")&gt;0,"X",IF(COUNTIFS(Details!$A$5:$A$1004,$A9,Details!$C$5:$C$1004,Y$4,Details!$F$5:$F$1004,"O")&gt;0,"O","해당없음"))))</x:f>
        <x:v>미실행</x:v>
      </x:c>
      <x:c r="Z9" s="30" t="str">
        <x:f>IF($A9="","",IF(COUNTIFS(Details!$A$5:$A$1004,$A9,Details!$C$5:$C$1004,Z$4)=0,"미실행",IF(COUNTIFS(Details!$A$5:$A$1004,$A9,Details!$C$5:$C$1004,Z$4,Details!$F$5:$F$1004,"X")&gt;0,"X",IF(COUNTIFS(Details!$A$5:$A$1004,$A9,Details!$C$5:$C$1004,Z$4,Details!$F$5:$F$1004,"O")&gt;0,"O","해당없음"))))</x:f>
        <x:v>미실행</x:v>
      </x:c>
      <x:c r="AA9" s="30" t="str">
        <x:f>IF($A9="","",IF(COUNTIFS(Details!$A$5:$A$1004,$A9,Details!$C$5:$C$1004,AA$4)=0,"미실행",IF(COUNTIFS(Details!$A$5:$A$1004,$A9,Details!$C$5:$C$1004,AA$4,Details!$F$5:$F$1004,"X")&gt;0,"X",IF(COUNTIFS(Details!$A$5:$A$1004,$A9,Details!$C$5:$C$1004,AA$4,Details!$F$5:$F$1004,"O")&gt;0,"O","해당없음"))))</x:f>
        <x:v>미실행</x:v>
      </x:c>
      <x:c r="AB9" s="30" t="str">
        <x:f>IF($A9="","",IF(COUNTIFS(Details!$A$5:$A$1004,$A9,Details!$C$5:$C$1004,AB$4)=0,"미실행",IF(COUNTIFS(Details!$A$5:$A$1004,$A9,Details!$C$5:$C$1004,AB$4,Details!$F$5:$F$1004,"X")&gt;0,"X",IF(COUNTIFS(Details!$A$5:$A$1004,$A9,Details!$C$5:$C$1004,AB$4,Details!$F$5:$F$1004,"O")&gt;0,"O","해당없음"))))</x:f>
        <x:v>미실행</x:v>
      </x:c>
      <x:c r="AC9" s="30" t="str">
        <x:f>IF($A9="","",IF(COUNTIFS(Details!$A$5:$A$1004,$A9,Details!$C$5:$C$1004,AC$4)=0,"미실행",IF(COUNTIFS(Details!$A$5:$A$1004,$A9,Details!$C$5:$C$1004,AC$4,Details!$F$5:$F$1004,"X")&gt;0,"X",IF(COUNTIFS(Details!$A$5:$A$1004,$A9,Details!$C$5:$C$1004,AC$4,Details!$F$5:$F$1004,"O")&gt;0,"O","해당없음"))))</x:f>
        <x:v>미실행</x:v>
      </x:c>
      <x:c r="AD9" s="30" t="str">
        <x:f>IF($A9="","",IF(COUNTIFS(Details!$A$5:$A$1004,$A9,Details!$C$5:$C$1004,AD$4)=0,"미실행",IF(COUNTIFS(Details!$A$5:$A$1004,$A9,Details!$C$5:$C$1004,AD$4,Details!$F$5:$F$1004,"X")&gt;0,"X",IF(COUNTIFS(Details!$A$5:$A$1004,$A9,Details!$C$5:$C$1004,AD$4,Details!$F$5:$F$1004,"O")&gt;0,"O","해당없음"))))</x:f>
        <x:v>미실행</x:v>
      </x:c>
      <x:c r="AE9" s="30" t="str">
        <x:f>IF($A9="","",IF(COUNTIFS(Details!$A$5:$A$1004,$A9,Details!$C$5:$C$1004,AE$4)=0,"미실행",IF(COUNTIFS(Details!$A$5:$A$1004,$A9,Details!$C$5:$C$1004,AE$4,Details!$F$5:$F$1004,"X")&gt;0,"X",IF(COUNTIFS(Details!$A$5:$A$1004,$A9,Details!$C$5:$C$1004,AE$4,Details!$F$5:$F$1004,"O")&gt;0,"O","해당없음"))))</x:f>
        <x:v>미실행</x:v>
      </x:c>
      <x:c r="AF9" s="30" t="n">
        <x:f>COUNTIF(C9:AE9,"O")</x:f>
        <x:v>0</x:v>
      </x:c>
      <x:c r="AG9" s="30" t="n">
        <x:f>COUNTIF(C9:AE9,"X")</x:f>
        <x:v>0</x:v>
      </x:c>
      <x:c r="AH9" s="30" t="n">
        <x:f>COUNTIF(C9:AE9,"미실행")</x:f>
        <x:v>29</x:v>
      </x:c>
    </x:row>
    <x:row r="10">
      <x:c r="A10" s="25" t="str">
        <x:v>D05</x:v>
      </x:c>
      <x:c r="B10" s="25" t="str"/>
      <x:c r="C10" s="30" t="str">
        <x:f>IF($A10="","",IF(COUNTIFS(Details!$A$5:$A$1004,$A10,Details!$C$5:$C$1004,C$4)=0,"미실행",IF(COUNTIFS(Details!$A$5:$A$1004,$A10,Details!$C$5:$C$1004,C$4,Details!$F$5:$F$1004,"X")&gt;0,"X",IF(COUNTIFS(Details!$A$5:$A$1004,$A10,Details!$C$5:$C$1004,C$4,Details!$F$5:$F$1004,"O")&gt;0,"O","해당없음"))))</x:f>
        <x:v>미실행</x:v>
      </x:c>
      <x:c r="D10" s="30" t="str">
        <x:f>IF($A10="","",IF(COUNTIFS(Details!$A$5:$A$1004,$A10,Details!$C$5:$C$1004,D$4)=0,"미실행",IF(COUNTIFS(Details!$A$5:$A$1004,$A10,Details!$C$5:$C$1004,D$4,Details!$F$5:$F$1004,"X")&gt;0,"X",IF(COUNTIFS(Details!$A$5:$A$1004,$A10,Details!$C$5:$C$1004,D$4,Details!$F$5:$F$1004,"O")&gt;0,"O","해당없음"))))</x:f>
        <x:v>미실행</x:v>
      </x:c>
      <x:c r="E10" s="30" t="str">
        <x:f>IF($A10="","",IF(COUNTIFS(Details!$A$5:$A$1004,$A10,Details!$C$5:$C$1004,E$4)=0,"미실행",IF(COUNTIFS(Details!$A$5:$A$1004,$A10,Details!$C$5:$C$1004,E$4,Details!$F$5:$F$1004,"X")&gt;0,"X",IF(COUNTIFS(Details!$A$5:$A$1004,$A10,Details!$C$5:$C$1004,E$4,Details!$F$5:$F$1004,"O")&gt;0,"O","해당없음"))))</x:f>
        <x:v>미실행</x:v>
      </x:c>
      <x:c r="F10" s="30" t="str">
        <x:f>IF($A10="","",IF(COUNTIFS(Details!$A$5:$A$1004,$A10,Details!$C$5:$C$1004,F$4)=0,"미실행",IF(COUNTIFS(Details!$A$5:$A$1004,$A10,Details!$C$5:$C$1004,F$4,Details!$F$5:$F$1004,"X")&gt;0,"X",IF(COUNTIFS(Details!$A$5:$A$1004,$A10,Details!$C$5:$C$1004,F$4,Details!$F$5:$F$1004,"O")&gt;0,"O","해당없음"))))</x:f>
        <x:v>미실행</x:v>
      </x:c>
      <x:c r="G10" s="30" t="str">
        <x:f>IF($A10="","",IF(COUNTIFS(Details!$A$5:$A$1004,$A10,Details!$C$5:$C$1004,G$4)=0,"미실행",IF(COUNTIFS(Details!$A$5:$A$1004,$A10,Details!$C$5:$C$1004,G$4,Details!$F$5:$F$1004,"X")&gt;0,"X",IF(COUNTIFS(Details!$A$5:$A$1004,$A10,Details!$C$5:$C$1004,G$4,Details!$F$5:$F$1004,"O")&gt;0,"O","해당없음"))))</x:f>
        <x:v>미실행</x:v>
      </x:c>
      <x:c r="H10" s="30" t="str">
        <x:f>IF($A10="","",IF(COUNTIFS(Details!$A$5:$A$1004,$A10,Details!$C$5:$C$1004,H$4)=0,"미실행",IF(COUNTIFS(Details!$A$5:$A$1004,$A10,Details!$C$5:$C$1004,H$4,Details!$F$5:$F$1004,"X")&gt;0,"X",IF(COUNTIFS(Details!$A$5:$A$1004,$A10,Details!$C$5:$C$1004,H$4,Details!$F$5:$F$1004,"O")&gt;0,"O","해당없음"))))</x:f>
        <x:v>미실행</x:v>
      </x:c>
      <x:c r="I10" s="30" t="str">
        <x:f>IF($A10="","",IF(COUNTIFS(Details!$A$5:$A$1004,$A10,Details!$C$5:$C$1004,I$4)=0,"미실행",IF(COUNTIFS(Details!$A$5:$A$1004,$A10,Details!$C$5:$C$1004,I$4,Details!$F$5:$F$1004,"X")&gt;0,"X",IF(COUNTIFS(Details!$A$5:$A$1004,$A10,Details!$C$5:$C$1004,I$4,Details!$F$5:$F$1004,"O")&gt;0,"O","해당없음"))))</x:f>
        <x:v>미실행</x:v>
      </x:c>
      <x:c r="J10" s="30" t="str">
        <x:f>IF($A10="","",IF(COUNTIFS(Details!$A$5:$A$1004,$A10,Details!$C$5:$C$1004,J$4)=0,"미실행",IF(COUNTIFS(Details!$A$5:$A$1004,$A10,Details!$C$5:$C$1004,J$4,Details!$F$5:$F$1004,"X")&gt;0,"X",IF(COUNTIFS(Details!$A$5:$A$1004,$A10,Details!$C$5:$C$1004,J$4,Details!$F$5:$F$1004,"O")&gt;0,"O","해당없음"))))</x:f>
        <x:v>미실행</x:v>
      </x:c>
      <x:c r="K10" s="30" t="str">
        <x:f>IF($A10="","",IF(COUNTIFS(Details!$A$5:$A$1004,$A10,Details!$C$5:$C$1004,K$4)=0,"미실행",IF(COUNTIFS(Details!$A$5:$A$1004,$A10,Details!$C$5:$C$1004,K$4,Details!$F$5:$F$1004,"X")&gt;0,"X",IF(COUNTIFS(Details!$A$5:$A$1004,$A10,Details!$C$5:$C$1004,K$4,Details!$F$5:$F$1004,"O")&gt;0,"O","해당없음"))))</x:f>
        <x:v>미실행</x:v>
      </x:c>
      <x:c r="L10" s="30" t="str">
        <x:f>IF($A10="","",IF(COUNTIFS(Details!$A$5:$A$1004,$A10,Details!$C$5:$C$1004,L$4)=0,"미실행",IF(COUNTIFS(Details!$A$5:$A$1004,$A10,Details!$C$5:$C$1004,L$4,Details!$F$5:$F$1004,"X")&gt;0,"X",IF(COUNTIFS(Details!$A$5:$A$1004,$A10,Details!$C$5:$C$1004,L$4,Details!$F$5:$F$1004,"O")&gt;0,"O","해당없음"))))</x:f>
        <x:v>미실행</x:v>
      </x:c>
      <x:c r="M10" s="30" t="str">
        <x:f>IF($A10="","",IF(COUNTIFS(Details!$A$5:$A$1004,$A10,Details!$C$5:$C$1004,M$4)=0,"미실행",IF(COUNTIFS(Details!$A$5:$A$1004,$A10,Details!$C$5:$C$1004,M$4,Details!$F$5:$F$1004,"X")&gt;0,"X",IF(COUNTIFS(Details!$A$5:$A$1004,$A10,Details!$C$5:$C$1004,M$4,Details!$F$5:$F$1004,"O")&gt;0,"O","해당없음"))))</x:f>
        <x:v>미실행</x:v>
      </x:c>
      <x:c r="N10" s="30" t="str">
        <x:f>IF($A10="","",IF(COUNTIFS(Details!$A$5:$A$1004,$A10,Details!$C$5:$C$1004,N$4)=0,"미실행",IF(COUNTIFS(Details!$A$5:$A$1004,$A10,Details!$C$5:$C$1004,N$4,Details!$F$5:$F$1004,"X")&gt;0,"X",IF(COUNTIFS(Details!$A$5:$A$1004,$A10,Details!$C$5:$C$1004,N$4,Details!$F$5:$F$1004,"O")&gt;0,"O","해당없음"))))</x:f>
        <x:v>미실행</x:v>
      </x:c>
      <x:c r="O10" s="30" t="str">
        <x:f>IF($A10="","",IF(COUNTIFS(Details!$A$5:$A$1004,$A10,Details!$C$5:$C$1004,O$4)=0,"미실행",IF(COUNTIFS(Details!$A$5:$A$1004,$A10,Details!$C$5:$C$1004,O$4,Details!$F$5:$F$1004,"X")&gt;0,"X",IF(COUNTIFS(Details!$A$5:$A$1004,$A10,Details!$C$5:$C$1004,O$4,Details!$F$5:$F$1004,"O")&gt;0,"O","해당없음"))))</x:f>
        <x:v>미실행</x:v>
      </x:c>
      <x:c r="P10" s="30" t="str">
        <x:f>IF($A10="","",IF(COUNTIFS(Details!$A$5:$A$1004,$A10,Details!$C$5:$C$1004,P$4)=0,"미실행",IF(COUNTIFS(Details!$A$5:$A$1004,$A10,Details!$C$5:$C$1004,P$4,Details!$F$5:$F$1004,"X")&gt;0,"X",IF(COUNTIFS(Details!$A$5:$A$1004,$A10,Details!$C$5:$C$1004,P$4,Details!$F$5:$F$1004,"O")&gt;0,"O","해당없음"))))</x:f>
        <x:v>미실행</x:v>
      </x:c>
      <x:c r="Q10" s="30" t="str">
        <x:f>IF($A10="","",IF(COUNTIFS(Details!$A$5:$A$1004,$A10,Details!$C$5:$C$1004,Q$4)=0,"미실행",IF(COUNTIFS(Details!$A$5:$A$1004,$A10,Details!$C$5:$C$1004,Q$4,Details!$F$5:$F$1004,"X")&gt;0,"X",IF(COUNTIFS(Details!$A$5:$A$1004,$A10,Details!$C$5:$C$1004,Q$4,Details!$F$5:$F$1004,"O")&gt;0,"O","해당없음"))))</x:f>
        <x:v>미실행</x:v>
      </x:c>
      <x:c r="R10" s="30" t="str">
        <x:f>IF($A10="","",IF(COUNTIFS(Details!$A$5:$A$1004,$A10,Details!$C$5:$C$1004,R$4)=0,"미실행",IF(COUNTIFS(Details!$A$5:$A$1004,$A10,Details!$C$5:$C$1004,R$4,Details!$F$5:$F$1004,"X")&gt;0,"X",IF(COUNTIFS(Details!$A$5:$A$1004,$A10,Details!$C$5:$C$1004,R$4,Details!$F$5:$F$1004,"O")&gt;0,"O","해당없음"))))</x:f>
        <x:v>미실행</x:v>
      </x:c>
      <x:c r="S10" s="30" t="str">
        <x:f>IF($A10="","",IF(COUNTIFS(Details!$A$5:$A$1004,$A10,Details!$C$5:$C$1004,S$4)=0,"미실행",IF(COUNTIFS(Details!$A$5:$A$1004,$A10,Details!$C$5:$C$1004,S$4,Details!$F$5:$F$1004,"X")&gt;0,"X",IF(COUNTIFS(Details!$A$5:$A$1004,$A10,Details!$C$5:$C$1004,S$4,Details!$F$5:$F$1004,"O")&gt;0,"O","해당없음"))))</x:f>
        <x:v>미실행</x:v>
      </x:c>
      <x:c r="T10" s="30" t="str">
        <x:f>IF($A10="","",IF(COUNTIFS(Details!$A$5:$A$1004,$A10,Details!$C$5:$C$1004,T$4)=0,"미실행",IF(COUNTIFS(Details!$A$5:$A$1004,$A10,Details!$C$5:$C$1004,T$4,Details!$F$5:$F$1004,"X")&gt;0,"X",IF(COUNTIFS(Details!$A$5:$A$1004,$A10,Details!$C$5:$C$1004,T$4,Details!$F$5:$F$1004,"O")&gt;0,"O","해당없음"))))</x:f>
        <x:v>미실행</x:v>
      </x:c>
      <x:c r="U10" s="30" t="str">
        <x:f>IF($A10="","",IF(COUNTIFS(Details!$A$5:$A$1004,$A10,Details!$C$5:$C$1004,U$4)=0,"미실행",IF(COUNTIFS(Details!$A$5:$A$1004,$A10,Details!$C$5:$C$1004,U$4,Details!$F$5:$F$1004,"X")&gt;0,"X",IF(COUNTIFS(Details!$A$5:$A$1004,$A10,Details!$C$5:$C$1004,U$4,Details!$F$5:$F$1004,"O")&gt;0,"O","해당없음"))))</x:f>
        <x:v>미실행</x:v>
      </x:c>
      <x:c r="V10" s="30" t="str">
        <x:f>IF($A10="","",IF(COUNTIFS(Details!$A$5:$A$1004,$A10,Details!$C$5:$C$1004,V$4)=0,"미실행",IF(COUNTIFS(Details!$A$5:$A$1004,$A10,Details!$C$5:$C$1004,V$4,Details!$F$5:$F$1004,"X")&gt;0,"X",IF(COUNTIFS(Details!$A$5:$A$1004,$A10,Details!$C$5:$C$1004,V$4,Details!$F$5:$F$1004,"O")&gt;0,"O","해당없음"))))</x:f>
        <x:v>미실행</x:v>
      </x:c>
      <x:c r="W10" s="30" t="str">
        <x:f>IF($A10="","",IF(COUNTIFS(Details!$A$5:$A$1004,$A10,Details!$C$5:$C$1004,W$4)=0,"미실행",IF(COUNTIFS(Details!$A$5:$A$1004,$A10,Details!$C$5:$C$1004,W$4,Details!$F$5:$F$1004,"X")&gt;0,"X",IF(COUNTIFS(Details!$A$5:$A$1004,$A10,Details!$C$5:$C$1004,W$4,Details!$F$5:$F$1004,"O")&gt;0,"O","해당없음"))))</x:f>
        <x:v>미실행</x:v>
      </x:c>
      <x:c r="X10" s="30" t="str">
        <x:f>IF($A10="","",IF(COUNTIFS(Details!$A$5:$A$1004,$A10,Details!$C$5:$C$1004,X$4)=0,"미실행",IF(COUNTIFS(Details!$A$5:$A$1004,$A10,Details!$C$5:$C$1004,X$4,Details!$F$5:$F$1004,"X")&gt;0,"X",IF(COUNTIFS(Details!$A$5:$A$1004,$A10,Details!$C$5:$C$1004,X$4,Details!$F$5:$F$1004,"O")&gt;0,"O","해당없음"))))</x:f>
        <x:v>미실행</x:v>
      </x:c>
      <x:c r="Y10" s="30" t="str">
        <x:f>IF($A10="","",IF(COUNTIFS(Details!$A$5:$A$1004,$A10,Details!$C$5:$C$1004,Y$4)=0,"미실행",IF(COUNTIFS(Details!$A$5:$A$1004,$A10,Details!$C$5:$C$1004,Y$4,Details!$F$5:$F$1004,"X")&gt;0,"X",IF(COUNTIFS(Details!$A$5:$A$1004,$A10,Details!$C$5:$C$1004,Y$4,Details!$F$5:$F$1004,"O")&gt;0,"O","해당없음"))))</x:f>
        <x:v>미실행</x:v>
      </x:c>
      <x:c r="Z10" s="30" t="str">
        <x:f>IF($A10="","",IF(COUNTIFS(Details!$A$5:$A$1004,$A10,Details!$C$5:$C$1004,Z$4)=0,"미실행",IF(COUNTIFS(Details!$A$5:$A$1004,$A10,Details!$C$5:$C$1004,Z$4,Details!$F$5:$F$1004,"X")&gt;0,"X",IF(COUNTIFS(Details!$A$5:$A$1004,$A10,Details!$C$5:$C$1004,Z$4,Details!$F$5:$F$1004,"O")&gt;0,"O","해당없음"))))</x:f>
        <x:v>미실행</x:v>
      </x:c>
      <x:c r="AA10" s="30" t="str">
        <x:f>IF($A10="","",IF(COUNTIFS(Details!$A$5:$A$1004,$A10,Details!$C$5:$C$1004,AA$4)=0,"미실행",IF(COUNTIFS(Details!$A$5:$A$1004,$A10,Details!$C$5:$C$1004,AA$4,Details!$F$5:$F$1004,"X")&gt;0,"X",IF(COUNTIFS(Details!$A$5:$A$1004,$A10,Details!$C$5:$C$1004,AA$4,Details!$F$5:$F$1004,"O")&gt;0,"O","해당없음"))))</x:f>
        <x:v>미실행</x:v>
      </x:c>
      <x:c r="AB10" s="30" t="str">
        <x:f>IF($A10="","",IF(COUNTIFS(Details!$A$5:$A$1004,$A10,Details!$C$5:$C$1004,AB$4)=0,"미실행",IF(COUNTIFS(Details!$A$5:$A$1004,$A10,Details!$C$5:$C$1004,AB$4,Details!$F$5:$F$1004,"X")&gt;0,"X",IF(COUNTIFS(Details!$A$5:$A$1004,$A10,Details!$C$5:$C$1004,AB$4,Details!$F$5:$F$1004,"O")&gt;0,"O","해당없음"))))</x:f>
        <x:v>미실행</x:v>
      </x:c>
      <x:c r="AC10" s="30" t="str">
        <x:f>IF($A10="","",IF(COUNTIFS(Details!$A$5:$A$1004,$A10,Details!$C$5:$C$1004,AC$4)=0,"미실행",IF(COUNTIFS(Details!$A$5:$A$1004,$A10,Details!$C$5:$C$1004,AC$4,Details!$F$5:$F$1004,"X")&gt;0,"X",IF(COUNTIFS(Details!$A$5:$A$1004,$A10,Details!$C$5:$C$1004,AC$4,Details!$F$5:$F$1004,"O")&gt;0,"O","해당없음"))))</x:f>
        <x:v>미실행</x:v>
      </x:c>
      <x:c r="AD10" s="30" t="str">
        <x:f>IF($A10="","",IF(COUNTIFS(Details!$A$5:$A$1004,$A10,Details!$C$5:$C$1004,AD$4)=0,"미실행",IF(COUNTIFS(Details!$A$5:$A$1004,$A10,Details!$C$5:$C$1004,AD$4,Details!$F$5:$F$1004,"X")&gt;0,"X",IF(COUNTIFS(Details!$A$5:$A$1004,$A10,Details!$C$5:$C$1004,AD$4,Details!$F$5:$F$1004,"O")&gt;0,"O","해당없음"))))</x:f>
        <x:v>미실행</x:v>
      </x:c>
      <x:c r="AE10" s="30" t="str">
        <x:f>IF($A10="","",IF(COUNTIFS(Details!$A$5:$A$1004,$A10,Details!$C$5:$C$1004,AE$4)=0,"미실행",IF(COUNTIFS(Details!$A$5:$A$1004,$A10,Details!$C$5:$C$1004,AE$4,Details!$F$5:$F$1004,"X")&gt;0,"X",IF(COUNTIFS(Details!$A$5:$A$1004,$A10,Details!$C$5:$C$1004,AE$4,Details!$F$5:$F$1004,"O")&gt;0,"O","해당없음"))))</x:f>
        <x:v>미실행</x:v>
      </x:c>
      <x:c r="AF10" s="30" t="n">
        <x:f>COUNTIF(C10:AE10,"O")</x:f>
        <x:v>0</x:v>
      </x:c>
      <x:c r="AG10" s="30" t="n">
        <x:f>COUNTIF(C10:AE10,"X")</x:f>
        <x:v>0</x:v>
      </x:c>
      <x:c r="AH10" s="30" t="n">
        <x:f>COUNTIF(C10:AE10,"미실행")</x:f>
        <x:v>29</x:v>
      </x:c>
    </x:row>
    <x:row r="11">
      <x:c r="A11" s="25" t="str">
        <x:v>D06</x:v>
      </x:c>
      <x:c r="B11" s="25" t="str"/>
      <x:c r="C11" s="30" t="str">
        <x:f>IF($A11="","",IF(COUNTIFS(Details!$A$5:$A$1004,$A11,Details!$C$5:$C$1004,C$4)=0,"미실행",IF(COUNTIFS(Details!$A$5:$A$1004,$A11,Details!$C$5:$C$1004,C$4,Details!$F$5:$F$1004,"X")&gt;0,"X",IF(COUNTIFS(Details!$A$5:$A$1004,$A11,Details!$C$5:$C$1004,C$4,Details!$F$5:$F$1004,"O")&gt;0,"O","해당없음"))))</x:f>
        <x:v>미실행</x:v>
      </x:c>
      <x:c r="D11" s="30" t="str">
        <x:f>IF($A11="","",IF(COUNTIFS(Details!$A$5:$A$1004,$A11,Details!$C$5:$C$1004,D$4)=0,"미실행",IF(COUNTIFS(Details!$A$5:$A$1004,$A11,Details!$C$5:$C$1004,D$4,Details!$F$5:$F$1004,"X")&gt;0,"X",IF(COUNTIFS(Details!$A$5:$A$1004,$A11,Details!$C$5:$C$1004,D$4,Details!$F$5:$F$1004,"O")&gt;0,"O","해당없음"))))</x:f>
        <x:v>미실행</x:v>
      </x:c>
      <x:c r="E11" s="30" t="str">
        <x:f>IF($A11="","",IF(COUNTIFS(Details!$A$5:$A$1004,$A11,Details!$C$5:$C$1004,E$4)=0,"미실행",IF(COUNTIFS(Details!$A$5:$A$1004,$A11,Details!$C$5:$C$1004,E$4,Details!$F$5:$F$1004,"X")&gt;0,"X",IF(COUNTIFS(Details!$A$5:$A$1004,$A11,Details!$C$5:$C$1004,E$4,Details!$F$5:$F$1004,"O")&gt;0,"O","해당없음"))))</x:f>
        <x:v>미실행</x:v>
      </x:c>
      <x:c r="F11" s="30" t="str">
        <x:f>IF($A11="","",IF(COUNTIFS(Details!$A$5:$A$1004,$A11,Details!$C$5:$C$1004,F$4)=0,"미실행",IF(COUNTIFS(Details!$A$5:$A$1004,$A11,Details!$C$5:$C$1004,F$4,Details!$F$5:$F$1004,"X")&gt;0,"X",IF(COUNTIFS(Details!$A$5:$A$1004,$A11,Details!$C$5:$C$1004,F$4,Details!$F$5:$F$1004,"O")&gt;0,"O","해당없음"))))</x:f>
        <x:v>미실행</x:v>
      </x:c>
      <x:c r="G11" s="30" t="str">
        <x:f>IF($A11="","",IF(COUNTIFS(Details!$A$5:$A$1004,$A11,Details!$C$5:$C$1004,G$4)=0,"미실행",IF(COUNTIFS(Details!$A$5:$A$1004,$A11,Details!$C$5:$C$1004,G$4,Details!$F$5:$F$1004,"X")&gt;0,"X",IF(COUNTIFS(Details!$A$5:$A$1004,$A11,Details!$C$5:$C$1004,G$4,Details!$F$5:$F$1004,"O")&gt;0,"O","해당없음"))))</x:f>
        <x:v>미실행</x:v>
      </x:c>
      <x:c r="H11" s="30" t="str">
        <x:f>IF($A11="","",IF(COUNTIFS(Details!$A$5:$A$1004,$A11,Details!$C$5:$C$1004,H$4)=0,"미실행",IF(COUNTIFS(Details!$A$5:$A$1004,$A11,Details!$C$5:$C$1004,H$4,Details!$F$5:$F$1004,"X")&gt;0,"X",IF(COUNTIFS(Details!$A$5:$A$1004,$A11,Details!$C$5:$C$1004,H$4,Details!$F$5:$F$1004,"O")&gt;0,"O","해당없음"))))</x:f>
        <x:v>미실행</x:v>
      </x:c>
      <x:c r="I11" s="30" t="str">
        <x:f>IF($A11="","",IF(COUNTIFS(Details!$A$5:$A$1004,$A11,Details!$C$5:$C$1004,I$4)=0,"미실행",IF(COUNTIFS(Details!$A$5:$A$1004,$A11,Details!$C$5:$C$1004,I$4,Details!$F$5:$F$1004,"X")&gt;0,"X",IF(COUNTIFS(Details!$A$5:$A$1004,$A11,Details!$C$5:$C$1004,I$4,Details!$F$5:$F$1004,"O")&gt;0,"O","해당없음"))))</x:f>
        <x:v>미실행</x:v>
      </x:c>
      <x:c r="J11" s="30" t="str">
        <x:f>IF($A11="","",IF(COUNTIFS(Details!$A$5:$A$1004,$A11,Details!$C$5:$C$1004,J$4)=0,"미실행",IF(COUNTIFS(Details!$A$5:$A$1004,$A11,Details!$C$5:$C$1004,J$4,Details!$F$5:$F$1004,"X")&gt;0,"X",IF(COUNTIFS(Details!$A$5:$A$1004,$A11,Details!$C$5:$C$1004,J$4,Details!$F$5:$F$1004,"O")&gt;0,"O","해당없음"))))</x:f>
        <x:v>미실행</x:v>
      </x:c>
      <x:c r="K11" s="30" t="str">
        <x:f>IF($A11="","",IF(COUNTIFS(Details!$A$5:$A$1004,$A11,Details!$C$5:$C$1004,K$4)=0,"미실행",IF(COUNTIFS(Details!$A$5:$A$1004,$A11,Details!$C$5:$C$1004,K$4,Details!$F$5:$F$1004,"X")&gt;0,"X",IF(COUNTIFS(Details!$A$5:$A$1004,$A11,Details!$C$5:$C$1004,K$4,Details!$F$5:$F$1004,"O")&gt;0,"O","해당없음"))))</x:f>
        <x:v>미실행</x:v>
      </x:c>
      <x:c r="L11" s="30" t="str">
        <x:f>IF($A11="","",IF(COUNTIFS(Details!$A$5:$A$1004,$A11,Details!$C$5:$C$1004,L$4)=0,"미실행",IF(COUNTIFS(Details!$A$5:$A$1004,$A11,Details!$C$5:$C$1004,L$4,Details!$F$5:$F$1004,"X")&gt;0,"X",IF(COUNTIFS(Details!$A$5:$A$1004,$A11,Details!$C$5:$C$1004,L$4,Details!$F$5:$F$1004,"O")&gt;0,"O","해당없음"))))</x:f>
        <x:v>미실행</x:v>
      </x:c>
      <x:c r="M11" s="30" t="str">
        <x:f>IF($A11="","",IF(COUNTIFS(Details!$A$5:$A$1004,$A11,Details!$C$5:$C$1004,M$4)=0,"미실행",IF(COUNTIFS(Details!$A$5:$A$1004,$A11,Details!$C$5:$C$1004,M$4,Details!$F$5:$F$1004,"X")&gt;0,"X",IF(COUNTIFS(Details!$A$5:$A$1004,$A11,Details!$C$5:$C$1004,M$4,Details!$F$5:$F$1004,"O")&gt;0,"O","해당없음"))))</x:f>
        <x:v>미실행</x:v>
      </x:c>
      <x:c r="N11" s="30" t="str">
        <x:f>IF($A11="","",IF(COUNTIFS(Details!$A$5:$A$1004,$A11,Details!$C$5:$C$1004,N$4)=0,"미실행",IF(COUNTIFS(Details!$A$5:$A$1004,$A11,Details!$C$5:$C$1004,N$4,Details!$F$5:$F$1004,"X")&gt;0,"X",IF(COUNTIFS(Details!$A$5:$A$1004,$A11,Details!$C$5:$C$1004,N$4,Details!$F$5:$F$1004,"O")&gt;0,"O","해당없음"))))</x:f>
        <x:v>미실행</x:v>
      </x:c>
      <x:c r="O11" s="30" t="str">
        <x:f>IF($A11="","",IF(COUNTIFS(Details!$A$5:$A$1004,$A11,Details!$C$5:$C$1004,O$4)=0,"미실행",IF(COUNTIFS(Details!$A$5:$A$1004,$A11,Details!$C$5:$C$1004,O$4,Details!$F$5:$F$1004,"X")&gt;0,"X",IF(COUNTIFS(Details!$A$5:$A$1004,$A11,Details!$C$5:$C$1004,O$4,Details!$F$5:$F$1004,"O")&gt;0,"O","해당없음"))))</x:f>
        <x:v>미실행</x:v>
      </x:c>
      <x:c r="P11" s="30" t="str">
        <x:f>IF($A11="","",IF(COUNTIFS(Details!$A$5:$A$1004,$A11,Details!$C$5:$C$1004,P$4)=0,"미실행",IF(COUNTIFS(Details!$A$5:$A$1004,$A11,Details!$C$5:$C$1004,P$4,Details!$F$5:$F$1004,"X")&gt;0,"X",IF(COUNTIFS(Details!$A$5:$A$1004,$A11,Details!$C$5:$C$1004,P$4,Details!$F$5:$F$1004,"O")&gt;0,"O","해당없음"))))</x:f>
        <x:v>미실행</x:v>
      </x:c>
      <x:c r="Q11" s="30" t="str">
        <x:f>IF($A11="","",IF(COUNTIFS(Details!$A$5:$A$1004,$A11,Details!$C$5:$C$1004,Q$4)=0,"미실행",IF(COUNTIFS(Details!$A$5:$A$1004,$A11,Details!$C$5:$C$1004,Q$4,Details!$F$5:$F$1004,"X")&gt;0,"X",IF(COUNTIFS(Details!$A$5:$A$1004,$A11,Details!$C$5:$C$1004,Q$4,Details!$F$5:$F$1004,"O")&gt;0,"O","해당없음"))))</x:f>
        <x:v>미실행</x:v>
      </x:c>
      <x:c r="R11" s="30" t="str">
        <x:f>IF($A11="","",IF(COUNTIFS(Details!$A$5:$A$1004,$A11,Details!$C$5:$C$1004,R$4)=0,"미실행",IF(COUNTIFS(Details!$A$5:$A$1004,$A11,Details!$C$5:$C$1004,R$4,Details!$F$5:$F$1004,"X")&gt;0,"X",IF(COUNTIFS(Details!$A$5:$A$1004,$A11,Details!$C$5:$C$1004,R$4,Details!$F$5:$F$1004,"O")&gt;0,"O","해당없음"))))</x:f>
        <x:v>미실행</x:v>
      </x:c>
      <x:c r="S11" s="30" t="str">
        <x:f>IF($A11="","",IF(COUNTIFS(Details!$A$5:$A$1004,$A11,Details!$C$5:$C$1004,S$4)=0,"미실행",IF(COUNTIFS(Details!$A$5:$A$1004,$A11,Details!$C$5:$C$1004,S$4,Details!$F$5:$F$1004,"X")&gt;0,"X",IF(COUNTIFS(Details!$A$5:$A$1004,$A11,Details!$C$5:$C$1004,S$4,Details!$F$5:$F$1004,"O")&gt;0,"O","해당없음"))))</x:f>
        <x:v>미실행</x:v>
      </x:c>
      <x:c r="T11" s="30" t="str">
        <x:f>IF($A11="","",IF(COUNTIFS(Details!$A$5:$A$1004,$A11,Details!$C$5:$C$1004,T$4)=0,"미실행",IF(COUNTIFS(Details!$A$5:$A$1004,$A11,Details!$C$5:$C$1004,T$4,Details!$F$5:$F$1004,"X")&gt;0,"X",IF(COUNTIFS(Details!$A$5:$A$1004,$A11,Details!$C$5:$C$1004,T$4,Details!$F$5:$F$1004,"O")&gt;0,"O","해당없음"))))</x:f>
        <x:v>미실행</x:v>
      </x:c>
      <x:c r="U11" s="30" t="str">
        <x:f>IF($A11="","",IF(COUNTIFS(Details!$A$5:$A$1004,$A11,Details!$C$5:$C$1004,U$4)=0,"미실행",IF(COUNTIFS(Details!$A$5:$A$1004,$A11,Details!$C$5:$C$1004,U$4,Details!$F$5:$F$1004,"X")&gt;0,"X",IF(COUNTIFS(Details!$A$5:$A$1004,$A11,Details!$C$5:$C$1004,U$4,Details!$F$5:$F$1004,"O")&gt;0,"O","해당없음"))))</x:f>
        <x:v>미실행</x:v>
      </x:c>
      <x:c r="V11" s="30" t="str">
        <x:f>IF($A11="","",IF(COUNTIFS(Details!$A$5:$A$1004,$A11,Details!$C$5:$C$1004,V$4)=0,"미실행",IF(COUNTIFS(Details!$A$5:$A$1004,$A11,Details!$C$5:$C$1004,V$4,Details!$F$5:$F$1004,"X")&gt;0,"X",IF(COUNTIFS(Details!$A$5:$A$1004,$A11,Details!$C$5:$C$1004,V$4,Details!$F$5:$F$1004,"O")&gt;0,"O","해당없음"))))</x:f>
        <x:v>미실행</x:v>
      </x:c>
      <x:c r="W11" s="30" t="str">
        <x:f>IF($A11="","",IF(COUNTIFS(Details!$A$5:$A$1004,$A11,Details!$C$5:$C$1004,W$4)=0,"미실행",IF(COUNTIFS(Details!$A$5:$A$1004,$A11,Details!$C$5:$C$1004,W$4,Details!$F$5:$F$1004,"X")&gt;0,"X",IF(COUNTIFS(Details!$A$5:$A$1004,$A11,Details!$C$5:$C$1004,W$4,Details!$F$5:$F$1004,"O")&gt;0,"O","해당없음"))))</x:f>
        <x:v>미실행</x:v>
      </x:c>
      <x:c r="X11" s="30" t="str">
        <x:f>IF($A11="","",IF(COUNTIFS(Details!$A$5:$A$1004,$A11,Details!$C$5:$C$1004,X$4)=0,"미실행",IF(COUNTIFS(Details!$A$5:$A$1004,$A11,Details!$C$5:$C$1004,X$4,Details!$F$5:$F$1004,"X")&gt;0,"X",IF(COUNTIFS(Details!$A$5:$A$1004,$A11,Details!$C$5:$C$1004,X$4,Details!$F$5:$F$1004,"O")&gt;0,"O","해당없음"))))</x:f>
        <x:v>미실행</x:v>
      </x:c>
      <x:c r="Y11" s="30" t="str">
        <x:f>IF($A11="","",IF(COUNTIFS(Details!$A$5:$A$1004,$A11,Details!$C$5:$C$1004,Y$4)=0,"미실행",IF(COUNTIFS(Details!$A$5:$A$1004,$A11,Details!$C$5:$C$1004,Y$4,Details!$F$5:$F$1004,"X")&gt;0,"X",IF(COUNTIFS(Details!$A$5:$A$1004,$A11,Details!$C$5:$C$1004,Y$4,Details!$F$5:$F$1004,"O")&gt;0,"O","해당없음"))))</x:f>
        <x:v>미실행</x:v>
      </x:c>
      <x:c r="Z11" s="30" t="str">
        <x:f>IF($A11="","",IF(COUNTIFS(Details!$A$5:$A$1004,$A11,Details!$C$5:$C$1004,Z$4)=0,"미실행",IF(COUNTIFS(Details!$A$5:$A$1004,$A11,Details!$C$5:$C$1004,Z$4,Details!$F$5:$F$1004,"X")&gt;0,"X",IF(COUNTIFS(Details!$A$5:$A$1004,$A11,Details!$C$5:$C$1004,Z$4,Details!$F$5:$F$1004,"O")&gt;0,"O","해당없음"))))</x:f>
        <x:v>미실행</x:v>
      </x:c>
      <x:c r="AA11" s="30" t="str">
        <x:f>IF($A11="","",IF(COUNTIFS(Details!$A$5:$A$1004,$A11,Details!$C$5:$C$1004,AA$4)=0,"미실행",IF(COUNTIFS(Details!$A$5:$A$1004,$A11,Details!$C$5:$C$1004,AA$4,Details!$F$5:$F$1004,"X")&gt;0,"X",IF(COUNTIFS(Details!$A$5:$A$1004,$A11,Details!$C$5:$C$1004,AA$4,Details!$F$5:$F$1004,"O")&gt;0,"O","해당없음"))))</x:f>
        <x:v>미실행</x:v>
      </x:c>
      <x:c r="AB11" s="30" t="str">
        <x:f>IF($A11="","",IF(COUNTIFS(Details!$A$5:$A$1004,$A11,Details!$C$5:$C$1004,AB$4)=0,"미실행",IF(COUNTIFS(Details!$A$5:$A$1004,$A11,Details!$C$5:$C$1004,AB$4,Details!$F$5:$F$1004,"X")&gt;0,"X",IF(COUNTIFS(Details!$A$5:$A$1004,$A11,Details!$C$5:$C$1004,AB$4,Details!$F$5:$F$1004,"O")&gt;0,"O","해당없음"))))</x:f>
        <x:v>미실행</x:v>
      </x:c>
      <x:c r="AC11" s="30" t="str">
        <x:f>IF($A11="","",IF(COUNTIFS(Details!$A$5:$A$1004,$A11,Details!$C$5:$C$1004,AC$4)=0,"미실행",IF(COUNTIFS(Details!$A$5:$A$1004,$A11,Details!$C$5:$C$1004,AC$4,Details!$F$5:$F$1004,"X")&gt;0,"X",IF(COUNTIFS(Details!$A$5:$A$1004,$A11,Details!$C$5:$C$1004,AC$4,Details!$F$5:$F$1004,"O")&gt;0,"O","해당없음"))))</x:f>
        <x:v>미실행</x:v>
      </x:c>
      <x:c r="AD11" s="30" t="str">
        <x:f>IF($A11="","",IF(COUNTIFS(Details!$A$5:$A$1004,$A11,Details!$C$5:$C$1004,AD$4)=0,"미실행",IF(COUNTIFS(Details!$A$5:$A$1004,$A11,Details!$C$5:$C$1004,AD$4,Details!$F$5:$F$1004,"X")&gt;0,"X",IF(COUNTIFS(Details!$A$5:$A$1004,$A11,Details!$C$5:$C$1004,AD$4,Details!$F$5:$F$1004,"O")&gt;0,"O","해당없음"))))</x:f>
        <x:v>미실행</x:v>
      </x:c>
      <x:c r="AE11" s="30" t="str">
        <x:f>IF($A11="","",IF(COUNTIFS(Details!$A$5:$A$1004,$A11,Details!$C$5:$C$1004,AE$4)=0,"미실행",IF(COUNTIFS(Details!$A$5:$A$1004,$A11,Details!$C$5:$C$1004,AE$4,Details!$F$5:$F$1004,"X")&gt;0,"X",IF(COUNTIFS(Details!$A$5:$A$1004,$A11,Details!$C$5:$C$1004,AE$4,Details!$F$5:$F$1004,"O")&gt;0,"O","해당없음"))))</x:f>
        <x:v>미실행</x:v>
      </x:c>
      <x:c r="AF11" s="30" t="n">
        <x:f>COUNTIF(C11:AE11,"O")</x:f>
        <x:v>0</x:v>
      </x:c>
      <x:c r="AG11" s="30" t="n">
        <x:f>COUNTIF(C11:AE11,"X")</x:f>
        <x:v>0</x:v>
      </x:c>
      <x:c r="AH11" s="30" t="n">
        <x:f>COUNTIF(C11:AE11,"미실행")</x:f>
        <x:v>29</x:v>
      </x:c>
    </x:row>
    <x:row r="12">
      <x:c r="A12" s="25" t="str">
        <x:v>D07</x:v>
      </x:c>
      <x:c r="B12" s="25" t="str"/>
      <x:c r="C12" s="30" t="str">
        <x:f>IF($A12="","",IF(COUNTIFS(Details!$A$5:$A$1004,$A12,Details!$C$5:$C$1004,C$4)=0,"미실행",IF(COUNTIFS(Details!$A$5:$A$1004,$A12,Details!$C$5:$C$1004,C$4,Details!$F$5:$F$1004,"X")&gt;0,"X",IF(COUNTIFS(Details!$A$5:$A$1004,$A12,Details!$C$5:$C$1004,C$4,Details!$F$5:$F$1004,"O")&gt;0,"O","해당없음"))))</x:f>
        <x:v>미실행</x:v>
      </x:c>
      <x:c r="D12" s="30" t="str">
        <x:f>IF($A12="","",IF(COUNTIFS(Details!$A$5:$A$1004,$A12,Details!$C$5:$C$1004,D$4)=0,"미실행",IF(COUNTIFS(Details!$A$5:$A$1004,$A12,Details!$C$5:$C$1004,D$4,Details!$F$5:$F$1004,"X")&gt;0,"X",IF(COUNTIFS(Details!$A$5:$A$1004,$A12,Details!$C$5:$C$1004,D$4,Details!$F$5:$F$1004,"O")&gt;0,"O","해당없음"))))</x:f>
        <x:v>미실행</x:v>
      </x:c>
      <x:c r="E12" s="30" t="str">
        <x:f>IF($A12="","",IF(COUNTIFS(Details!$A$5:$A$1004,$A12,Details!$C$5:$C$1004,E$4)=0,"미실행",IF(COUNTIFS(Details!$A$5:$A$1004,$A12,Details!$C$5:$C$1004,E$4,Details!$F$5:$F$1004,"X")&gt;0,"X",IF(COUNTIFS(Details!$A$5:$A$1004,$A12,Details!$C$5:$C$1004,E$4,Details!$F$5:$F$1004,"O")&gt;0,"O","해당없음"))))</x:f>
        <x:v>미실행</x:v>
      </x:c>
      <x:c r="F12" s="30" t="str">
        <x:f>IF($A12="","",IF(COUNTIFS(Details!$A$5:$A$1004,$A12,Details!$C$5:$C$1004,F$4)=0,"미실행",IF(COUNTIFS(Details!$A$5:$A$1004,$A12,Details!$C$5:$C$1004,F$4,Details!$F$5:$F$1004,"X")&gt;0,"X",IF(COUNTIFS(Details!$A$5:$A$1004,$A12,Details!$C$5:$C$1004,F$4,Details!$F$5:$F$1004,"O")&gt;0,"O","해당없음"))))</x:f>
        <x:v>미실행</x:v>
      </x:c>
      <x:c r="G12" s="30" t="str">
        <x:f>IF($A12="","",IF(COUNTIFS(Details!$A$5:$A$1004,$A12,Details!$C$5:$C$1004,G$4)=0,"미실행",IF(COUNTIFS(Details!$A$5:$A$1004,$A12,Details!$C$5:$C$1004,G$4,Details!$F$5:$F$1004,"X")&gt;0,"X",IF(COUNTIFS(Details!$A$5:$A$1004,$A12,Details!$C$5:$C$1004,G$4,Details!$F$5:$F$1004,"O")&gt;0,"O","해당없음"))))</x:f>
        <x:v>미실행</x:v>
      </x:c>
      <x:c r="H12" s="30" t="str">
        <x:f>IF($A12="","",IF(COUNTIFS(Details!$A$5:$A$1004,$A12,Details!$C$5:$C$1004,H$4)=0,"미실행",IF(COUNTIFS(Details!$A$5:$A$1004,$A12,Details!$C$5:$C$1004,H$4,Details!$F$5:$F$1004,"X")&gt;0,"X",IF(COUNTIFS(Details!$A$5:$A$1004,$A12,Details!$C$5:$C$1004,H$4,Details!$F$5:$F$1004,"O")&gt;0,"O","해당없음"))))</x:f>
        <x:v>미실행</x:v>
      </x:c>
      <x:c r="I12" s="30" t="str">
        <x:f>IF($A12="","",IF(COUNTIFS(Details!$A$5:$A$1004,$A12,Details!$C$5:$C$1004,I$4)=0,"미실행",IF(COUNTIFS(Details!$A$5:$A$1004,$A12,Details!$C$5:$C$1004,I$4,Details!$F$5:$F$1004,"X")&gt;0,"X",IF(COUNTIFS(Details!$A$5:$A$1004,$A12,Details!$C$5:$C$1004,I$4,Details!$F$5:$F$1004,"O")&gt;0,"O","해당없음"))))</x:f>
        <x:v>미실행</x:v>
      </x:c>
      <x:c r="J12" s="30" t="str">
        <x:f>IF($A12="","",IF(COUNTIFS(Details!$A$5:$A$1004,$A12,Details!$C$5:$C$1004,J$4)=0,"미실행",IF(COUNTIFS(Details!$A$5:$A$1004,$A12,Details!$C$5:$C$1004,J$4,Details!$F$5:$F$1004,"X")&gt;0,"X",IF(COUNTIFS(Details!$A$5:$A$1004,$A12,Details!$C$5:$C$1004,J$4,Details!$F$5:$F$1004,"O")&gt;0,"O","해당없음"))))</x:f>
        <x:v>미실행</x:v>
      </x:c>
      <x:c r="K12" s="30" t="str">
        <x:f>IF($A12="","",IF(COUNTIFS(Details!$A$5:$A$1004,$A12,Details!$C$5:$C$1004,K$4)=0,"미실행",IF(COUNTIFS(Details!$A$5:$A$1004,$A12,Details!$C$5:$C$1004,K$4,Details!$F$5:$F$1004,"X")&gt;0,"X",IF(COUNTIFS(Details!$A$5:$A$1004,$A12,Details!$C$5:$C$1004,K$4,Details!$F$5:$F$1004,"O")&gt;0,"O","해당없음"))))</x:f>
        <x:v>미실행</x:v>
      </x:c>
      <x:c r="L12" s="30" t="str">
        <x:f>IF($A12="","",IF(COUNTIFS(Details!$A$5:$A$1004,$A12,Details!$C$5:$C$1004,L$4)=0,"미실행",IF(COUNTIFS(Details!$A$5:$A$1004,$A12,Details!$C$5:$C$1004,L$4,Details!$F$5:$F$1004,"X")&gt;0,"X",IF(COUNTIFS(Details!$A$5:$A$1004,$A12,Details!$C$5:$C$1004,L$4,Details!$F$5:$F$1004,"O")&gt;0,"O","해당없음"))))</x:f>
        <x:v>미실행</x:v>
      </x:c>
      <x:c r="M12" s="30" t="str">
        <x:f>IF($A12="","",IF(COUNTIFS(Details!$A$5:$A$1004,$A12,Details!$C$5:$C$1004,M$4)=0,"미실행",IF(COUNTIFS(Details!$A$5:$A$1004,$A12,Details!$C$5:$C$1004,M$4,Details!$F$5:$F$1004,"X")&gt;0,"X",IF(COUNTIFS(Details!$A$5:$A$1004,$A12,Details!$C$5:$C$1004,M$4,Details!$F$5:$F$1004,"O")&gt;0,"O","해당없음"))))</x:f>
        <x:v>미실행</x:v>
      </x:c>
      <x:c r="N12" s="30" t="str">
        <x:f>IF($A12="","",IF(COUNTIFS(Details!$A$5:$A$1004,$A12,Details!$C$5:$C$1004,N$4)=0,"미실행",IF(COUNTIFS(Details!$A$5:$A$1004,$A12,Details!$C$5:$C$1004,N$4,Details!$F$5:$F$1004,"X")&gt;0,"X",IF(COUNTIFS(Details!$A$5:$A$1004,$A12,Details!$C$5:$C$1004,N$4,Details!$F$5:$F$1004,"O")&gt;0,"O","해당없음"))))</x:f>
        <x:v>미실행</x:v>
      </x:c>
      <x:c r="O12" s="30" t="str">
        <x:f>IF($A12="","",IF(COUNTIFS(Details!$A$5:$A$1004,$A12,Details!$C$5:$C$1004,O$4)=0,"미실행",IF(COUNTIFS(Details!$A$5:$A$1004,$A12,Details!$C$5:$C$1004,O$4,Details!$F$5:$F$1004,"X")&gt;0,"X",IF(COUNTIFS(Details!$A$5:$A$1004,$A12,Details!$C$5:$C$1004,O$4,Details!$F$5:$F$1004,"O")&gt;0,"O","해당없음"))))</x:f>
        <x:v>미실행</x:v>
      </x:c>
      <x:c r="P12" s="30" t="str">
        <x:f>IF($A12="","",IF(COUNTIFS(Details!$A$5:$A$1004,$A12,Details!$C$5:$C$1004,P$4)=0,"미실행",IF(COUNTIFS(Details!$A$5:$A$1004,$A12,Details!$C$5:$C$1004,P$4,Details!$F$5:$F$1004,"X")&gt;0,"X",IF(COUNTIFS(Details!$A$5:$A$1004,$A12,Details!$C$5:$C$1004,P$4,Details!$F$5:$F$1004,"O")&gt;0,"O","해당없음"))))</x:f>
        <x:v>미실행</x:v>
      </x:c>
      <x:c r="Q12" s="30" t="str">
        <x:f>IF($A12="","",IF(COUNTIFS(Details!$A$5:$A$1004,$A12,Details!$C$5:$C$1004,Q$4)=0,"미실행",IF(COUNTIFS(Details!$A$5:$A$1004,$A12,Details!$C$5:$C$1004,Q$4,Details!$F$5:$F$1004,"X")&gt;0,"X",IF(COUNTIFS(Details!$A$5:$A$1004,$A12,Details!$C$5:$C$1004,Q$4,Details!$F$5:$F$1004,"O")&gt;0,"O","해당없음"))))</x:f>
        <x:v>미실행</x:v>
      </x:c>
      <x:c r="R12" s="30" t="str">
        <x:f>IF($A12="","",IF(COUNTIFS(Details!$A$5:$A$1004,$A12,Details!$C$5:$C$1004,R$4)=0,"미실행",IF(COUNTIFS(Details!$A$5:$A$1004,$A12,Details!$C$5:$C$1004,R$4,Details!$F$5:$F$1004,"X")&gt;0,"X",IF(COUNTIFS(Details!$A$5:$A$1004,$A12,Details!$C$5:$C$1004,R$4,Details!$F$5:$F$1004,"O")&gt;0,"O","해당없음"))))</x:f>
        <x:v>미실행</x:v>
      </x:c>
      <x:c r="S12" s="30" t="str">
        <x:f>IF($A12="","",IF(COUNTIFS(Details!$A$5:$A$1004,$A12,Details!$C$5:$C$1004,S$4)=0,"미실행",IF(COUNTIFS(Details!$A$5:$A$1004,$A12,Details!$C$5:$C$1004,S$4,Details!$F$5:$F$1004,"X")&gt;0,"X",IF(COUNTIFS(Details!$A$5:$A$1004,$A12,Details!$C$5:$C$1004,S$4,Details!$F$5:$F$1004,"O")&gt;0,"O","해당없음"))))</x:f>
        <x:v>미실행</x:v>
      </x:c>
      <x:c r="T12" s="30" t="str">
        <x:f>IF($A12="","",IF(COUNTIFS(Details!$A$5:$A$1004,$A12,Details!$C$5:$C$1004,T$4)=0,"미실행",IF(COUNTIFS(Details!$A$5:$A$1004,$A12,Details!$C$5:$C$1004,T$4,Details!$F$5:$F$1004,"X")&gt;0,"X",IF(COUNTIFS(Details!$A$5:$A$1004,$A12,Details!$C$5:$C$1004,T$4,Details!$F$5:$F$1004,"O")&gt;0,"O","해당없음"))))</x:f>
        <x:v>미실행</x:v>
      </x:c>
      <x:c r="U12" s="30" t="str">
        <x:f>IF($A12="","",IF(COUNTIFS(Details!$A$5:$A$1004,$A12,Details!$C$5:$C$1004,U$4)=0,"미실행",IF(COUNTIFS(Details!$A$5:$A$1004,$A12,Details!$C$5:$C$1004,U$4,Details!$F$5:$F$1004,"X")&gt;0,"X",IF(COUNTIFS(Details!$A$5:$A$1004,$A12,Details!$C$5:$C$1004,U$4,Details!$F$5:$F$1004,"O")&gt;0,"O","해당없음"))))</x:f>
        <x:v>미실행</x:v>
      </x:c>
      <x:c r="V12" s="30" t="str">
        <x:f>IF($A12="","",IF(COUNTIFS(Details!$A$5:$A$1004,$A12,Details!$C$5:$C$1004,V$4)=0,"미실행",IF(COUNTIFS(Details!$A$5:$A$1004,$A12,Details!$C$5:$C$1004,V$4,Details!$F$5:$F$1004,"X")&gt;0,"X",IF(COUNTIFS(Details!$A$5:$A$1004,$A12,Details!$C$5:$C$1004,V$4,Details!$F$5:$F$1004,"O")&gt;0,"O","해당없음"))))</x:f>
        <x:v>미실행</x:v>
      </x:c>
      <x:c r="W12" s="30" t="str">
        <x:f>IF($A12="","",IF(COUNTIFS(Details!$A$5:$A$1004,$A12,Details!$C$5:$C$1004,W$4)=0,"미실행",IF(COUNTIFS(Details!$A$5:$A$1004,$A12,Details!$C$5:$C$1004,W$4,Details!$F$5:$F$1004,"X")&gt;0,"X",IF(COUNTIFS(Details!$A$5:$A$1004,$A12,Details!$C$5:$C$1004,W$4,Details!$F$5:$F$1004,"O")&gt;0,"O","해당없음"))))</x:f>
        <x:v>미실행</x:v>
      </x:c>
      <x:c r="X12" s="30" t="str">
        <x:f>IF($A12="","",IF(COUNTIFS(Details!$A$5:$A$1004,$A12,Details!$C$5:$C$1004,X$4)=0,"미실행",IF(COUNTIFS(Details!$A$5:$A$1004,$A12,Details!$C$5:$C$1004,X$4,Details!$F$5:$F$1004,"X")&gt;0,"X",IF(COUNTIFS(Details!$A$5:$A$1004,$A12,Details!$C$5:$C$1004,X$4,Details!$F$5:$F$1004,"O")&gt;0,"O","해당없음"))))</x:f>
        <x:v>미실행</x:v>
      </x:c>
      <x:c r="Y12" s="30" t="str">
        <x:f>IF($A12="","",IF(COUNTIFS(Details!$A$5:$A$1004,$A12,Details!$C$5:$C$1004,Y$4)=0,"미실행",IF(COUNTIFS(Details!$A$5:$A$1004,$A12,Details!$C$5:$C$1004,Y$4,Details!$F$5:$F$1004,"X")&gt;0,"X",IF(COUNTIFS(Details!$A$5:$A$1004,$A12,Details!$C$5:$C$1004,Y$4,Details!$F$5:$F$1004,"O")&gt;0,"O","해당없음"))))</x:f>
        <x:v>미실행</x:v>
      </x:c>
      <x:c r="Z12" s="30" t="str">
        <x:f>IF($A12="","",IF(COUNTIFS(Details!$A$5:$A$1004,$A12,Details!$C$5:$C$1004,Z$4)=0,"미실행",IF(COUNTIFS(Details!$A$5:$A$1004,$A12,Details!$C$5:$C$1004,Z$4,Details!$F$5:$F$1004,"X")&gt;0,"X",IF(COUNTIFS(Details!$A$5:$A$1004,$A12,Details!$C$5:$C$1004,Z$4,Details!$F$5:$F$1004,"O")&gt;0,"O","해당없음"))))</x:f>
        <x:v>미실행</x:v>
      </x:c>
      <x:c r="AA12" s="30" t="str">
        <x:f>IF($A12="","",IF(COUNTIFS(Details!$A$5:$A$1004,$A12,Details!$C$5:$C$1004,AA$4)=0,"미실행",IF(COUNTIFS(Details!$A$5:$A$1004,$A12,Details!$C$5:$C$1004,AA$4,Details!$F$5:$F$1004,"X")&gt;0,"X",IF(COUNTIFS(Details!$A$5:$A$1004,$A12,Details!$C$5:$C$1004,AA$4,Details!$F$5:$F$1004,"O")&gt;0,"O","해당없음"))))</x:f>
        <x:v>미실행</x:v>
      </x:c>
      <x:c r="AB12" s="30" t="str">
        <x:f>IF($A12="","",IF(COUNTIFS(Details!$A$5:$A$1004,$A12,Details!$C$5:$C$1004,AB$4)=0,"미실행",IF(COUNTIFS(Details!$A$5:$A$1004,$A12,Details!$C$5:$C$1004,AB$4,Details!$F$5:$F$1004,"X")&gt;0,"X",IF(COUNTIFS(Details!$A$5:$A$1004,$A12,Details!$C$5:$C$1004,AB$4,Details!$F$5:$F$1004,"O")&gt;0,"O","해당없음"))))</x:f>
        <x:v>미실행</x:v>
      </x:c>
      <x:c r="AC12" s="30" t="str">
        <x:f>IF($A12="","",IF(COUNTIFS(Details!$A$5:$A$1004,$A12,Details!$C$5:$C$1004,AC$4)=0,"미실행",IF(COUNTIFS(Details!$A$5:$A$1004,$A12,Details!$C$5:$C$1004,AC$4,Details!$F$5:$F$1004,"X")&gt;0,"X",IF(COUNTIFS(Details!$A$5:$A$1004,$A12,Details!$C$5:$C$1004,AC$4,Details!$F$5:$F$1004,"O")&gt;0,"O","해당없음"))))</x:f>
        <x:v>미실행</x:v>
      </x:c>
      <x:c r="AD12" s="30" t="str">
        <x:f>IF($A12="","",IF(COUNTIFS(Details!$A$5:$A$1004,$A12,Details!$C$5:$C$1004,AD$4)=0,"미실행",IF(COUNTIFS(Details!$A$5:$A$1004,$A12,Details!$C$5:$C$1004,AD$4,Details!$F$5:$F$1004,"X")&gt;0,"X",IF(COUNTIFS(Details!$A$5:$A$1004,$A12,Details!$C$5:$C$1004,AD$4,Details!$F$5:$F$1004,"O")&gt;0,"O","해당없음"))))</x:f>
        <x:v>미실행</x:v>
      </x:c>
      <x:c r="AE12" s="30" t="str">
        <x:f>IF($A12="","",IF(COUNTIFS(Details!$A$5:$A$1004,$A12,Details!$C$5:$C$1004,AE$4)=0,"미실행",IF(COUNTIFS(Details!$A$5:$A$1004,$A12,Details!$C$5:$C$1004,AE$4,Details!$F$5:$F$1004,"X")&gt;0,"X",IF(COUNTIFS(Details!$A$5:$A$1004,$A12,Details!$C$5:$C$1004,AE$4,Details!$F$5:$F$1004,"O")&gt;0,"O","해당없음"))))</x:f>
        <x:v>미실행</x:v>
      </x:c>
      <x:c r="AF12" s="30" t="n">
        <x:f>COUNTIF(C12:AE12,"O")</x:f>
        <x:v>0</x:v>
      </x:c>
      <x:c r="AG12" s="30" t="n">
        <x:f>COUNTIF(C12:AE12,"X")</x:f>
        <x:v>0</x:v>
      </x:c>
      <x:c r="AH12" s="30" t="n">
        <x:f>COUNTIF(C12:AE12,"미실행")</x:f>
        <x:v>29</x:v>
      </x:c>
    </x:row>
    <x:row r="13">
      <x:c r="A13" s="25" t="str">
        <x:v>D08</x:v>
      </x:c>
      <x:c r="B13" s="25" t="str"/>
      <x:c r="C13" s="30" t="str">
        <x:f>IF($A13="","",IF(COUNTIFS(Details!$A$5:$A$1004,$A13,Details!$C$5:$C$1004,C$4)=0,"미실행",IF(COUNTIFS(Details!$A$5:$A$1004,$A13,Details!$C$5:$C$1004,C$4,Details!$F$5:$F$1004,"X")&gt;0,"X",IF(COUNTIFS(Details!$A$5:$A$1004,$A13,Details!$C$5:$C$1004,C$4,Details!$F$5:$F$1004,"O")&gt;0,"O","해당없음"))))</x:f>
        <x:v>미실행</x:v>
      </x:c>
      <x:c r="D13" s="30" t="str">
        <x:f>IF($A13="","",IF(COUNTIFS(Details!$A$5:$A$1004,$A13,Details!$C$5:$C$1004,D$4)=0,"미실행",IF(COUNTIFS(Details!$A$5:$A$1004,$A13,Details!$C$5:$C$1004,D$4,Details!$F$5:$F$1004,"X")&gt;0,"X",IF(COUNTIFS(Details!$A$5:$A$1004,$A13,Details!$C$5:$C$1004,D$4,Details!$F$5:$F$1004,"O")&gt;0,"O","해당없음"))))</x:f>
        <x:v>미실행</x:v>
      </x:c>
      <x:c r="E13" s="30" t="str">
        <x:f>IF($A13="","",IF(COUNTIFS(Details!$A$5:$A$1004,$A13,Details!$C$5:$C$1004,E$4)=0,"미실행",IF(COUNTIFS(Details!$A$5:$A$1004,$A13,Details!$C$5:$C$1004,E$4,Details!$F$5:$F$1004,"X")&gt;0,"X",IF(COUNTIFS(Details!$A$5:$A$1004,$A13,Details!$C$5:$C$1004,E$4,Details!$F$5:$F$1004,"O")&gt;0,"O","해당없음"))))</x:f>
        <x:v>미실행</x:v>
      </x:c>
      <x:c r="F13" s="30" t="str">
        <x:f>IF($A13="","",IF(COUNTIFS(Details!$A$5:$A$1004,$A13,Details!$C$5:$C$1004,F$4)=0,"미실행",IF(COUNTIFS(Details!$A$5:$A$1004,$A13,Details!$C$5:$C$1004,F$4,Details!$F$5:$F$1004,"X")&gt;0,"X",IF(COUNTIFS(Details!$A$5:$A$1004,$A13,Details!$C$5:$C$1004,F$4,Details!$F$5:$F$1004,"O")&gt;0,"O","해당없음"))))</x:f>
        <x:v>미실행</x:v>
      </x:c>
      <x:c r="G13" s="30" t="str">
        <x:f>IF($A13="","",IF(COUNTIFS(Details!$A$5:$A$1004,$A13,Details!$C$5:$C$1004,G$4)=0,"미실행",IF(COUNTIFS(Details!$A$5:$A$1004,$A13,Details!$C$5:$C$1004,G$4,Details!$F$5:$F$1004,"X")&gt;0,"X",IF(COUNTIFS(Details!$A$5:$A$1004,$A13,Details!$C$5:$C$1004,G$4,Details!$F$5:$F$1004,"O")&gt;0,"O","해당없음"))))</x:f>
        <x:v>미실행</x:v>
      </x:c>
      <x:c r="H13" s="30" t="str">
        <x:f>IF($A13="","",IF(COUNTIFS(Details!$A$5:$A$1004,$A13,Details!$C$5:$C$1004,H$4)=0,"미실행",IF(COUNTIFS(Details!$A$5:$A$1004,$A13,Details!$C$5:$C$1004,H$4,Details!$F$5:$F$1004,"X")&gt;0,"X",IF(COUNTIFS(Details!$A$5:$A$1004,$A13,Details!$C$5:$C$1004,H$4,Details!$F$5:$F$1004,"O")&gt;0,"O","해당없음"))))</x:f>
        <x:v>미실행</x:v>
      </x:c>
      <x:c r="I13" s="30" t="str">
        <x:f>IF($A13="","",IF(COUNTIFS(Details!$A$5:$A$1004,$A13,Details!$C$5:$C$1004,I$4)=0,"미실행",IF(COUNTIFS(Details!$A$5:$A$1004,$A13,Details!$C$5:$C$1004,I$4,Details!$F$5:$F$1004,"X")&gt;0,"X",IF(COUNTIFS(Details!$A$5:$A$1004,$A13,Details!$C$5:$C$1004,I$4,Details!$F$5:$F$1004,"O")&gt;0,"O","해당없음"))))</x:f>
        <x:v>미실행</x:v>
      </x:c>
      <x:c r="J13" s="30" t="str">
        <x:f>IF($A13="","",IF(COUNTIFS(Details!$A$5:$A$1004,$A13,Details!$C$5:$C$1004,J$4)=0,"미실행",IF(COUNTIFS(Details!$A$5:$A$1004,$A13,Details!$C$5:$C$1004,J$4,Details!$F$5:$F$1004,"X")&gt;0,"X",IF(COUNTIFS(Details!$A$5:$A$1004,$A13,Details!$C$5:$C$1004,J$4,Details!$F$5:$F$1004,"O")&gt;0,"O","해당없음"))))</x:f>
        <x:v>미실행</x:v>
      </x:c>
      <x:c r="K13" s="30" t="str">
        <x:f>IF($A13="","",IF(COUNTIFS(Details!$A$5:$A$1004,$A13,Details!$C$5:$C$1004,K$4)=0,"미실행",IF(COUNTIFS(Details!$A$5:$A$1004,$A13,Details!$C$5:$C$1004,K$4,Details!$F$5:$F$1004,"X")&gt;0,"X",IF(COUNTIFS(Details!$A$5:$A$1004,$A13,Details!$C$5:$C$1004,K$4,Details!$F$5:$F$1004,"O")&gt;0,"O","해당없음"))))</x:f>
        <x:v>미실행</x:v>
      </x:c>
      <x:c r="L13" s="30" t="str">
        <x:f>IF($A13="","",IF(COUNTIFS(Details!$A$5:$A$1004,$A13,Details!$C$5:$C$1004,L$4)=0,"미실행",IF(COUNTIFS(Details!$A$5:$A$1004,$A13,Details!$C$5:$C$1004,L$4,Details!$F$5:$F$1004,"X")&gt;0,"X",IF(COUNTIFS(Details!$A$5:$A$1004,$A13,Details!$C$5:$C$1004,L$4,Details!$F$5:$F$1004,"O")&gt;0,"O","해당없음"))))</x:f>
        <x:v>미실행</x:v>
      </x:c>
      <x:c r="M13" s="30" t="str">
        <x:f>IF($A13="","",IF(COUNTIFS(Details!$A$5:$A$1004,$A13,Details!$C$5:$C$1004,M$4)=0,"미실행",IF(COUNTIFS(Details!$A$5:$A$1004,$A13,Details!$C$5:$C$1004,M$4,Details!$F$5:$F$1004,"X")&gt;0,"X",IF(COUNTIFS(Details!$A$5:$A$1004,$A13,Details!$C$5:$C$1004,M$4,Details!$F$5:$F$1004,"O")&gt;0,"O","해당없음"))))</x:f>
        <x:v>미실행</x:v>
      </x:c>
      <x:c r="N13" s="30" t="str">
        <x:f>IF($A13="","",IF(COUNTIFS(Details!$A$5:$A$1004,$A13,Details!$C$5:$C$1004,N$4)=0,"미실행",IF(COUNTIFS(Details!$A$5:$A$1004,$A13,Details!$C$5:$C$1004,N$4,Details!$F$5:$F$1004,"X")&gt;0,"X",IF(COUNTIFS(Details!$A$5:$A$1004,$A13,Details!$C$5:$C$1004,N$4,Details!$F$5:$F$1004,"O")&gt;0,"O","해당없음"))))</x:f>
        <x:v>미실행</x:v>
      </x:c>
      <x:c r="O13" s="30" t="str">
        <x:f>IF($A13="","",IF(COUNTIFS(Details!$A$5:$A$1004,$A13,Details!$C$5:$C$1004,O$4)=0,"미실행",IF(COUNTIFS(Details!$A$5:$A$1004,$A13,Details!$C$5:$C$1004,O$4,Details!$F$5:$F$1004,"X")&gt;0,"X",IF(COUNTIFS(Details!$A$5:$A$1004,$A13,Details!$C$5:$C$1004,O$4,Details!$F$5:$F$1004,"O")&gt;0,"O","해당없음"))))</x:f>
        <x:v>미실행</x:v>
      </x:c>
      <x:c r="P13" s="30" t="str">
        <x:f>IF($A13="","",IF(COUNTIFS(Details!$A$5:$A$1004,$A13,Details!$C$5:$C$1004,P$4)=0,"미실행",IF(COUNTIFS(Details!$A$5:$A$1004,$A13,Details!$C$5:$C$1004,P$4,Details!$F$5:$F$1004,"X")&gt;0,"X",IF(COUNTIFS(Details!$A$5:$A$1004,$A13,Details!$C$5:$C$1004,P$4,Details!$F$5:$F$1004,"O")&gt;0,"O","해당없음"))))</x:f>
        <x:v>미실행</x:v>
      </x:c>
      <x:c r="Q13" s="30" t="str">
        <x:f>IF($A13="","",IF(COUNTIFS(Details!$A$5:$A$1004,$A13,Details!$C$5:$C$1004,Q$4)=0,"미실행",IF(COUNTIFS(Details!$A$5:$A$1004,$A13,Details!$C$5:$C$1004,Q$4,Details!$F$5:$F$1004,"X")&gt;0,"X",IF(COUNTIFS(Details!$A$5:$A$1004,$A13,Details!$C$5:$C$1004,Q$4,Details!$F$5:$F$1004,"O")&gt;0,"O","해당없음"))))</x:f>
        <x:v>미실행</x:v>
      </x:c>
      <x:c r="R13" s="30" t="str">
        <x:f>IF($A13="","",IF(COUNTIFS(Details!$A$5:$A$1004,$A13,Details!$C$5:$C$1004,R$4)=0,"미실행",IF(COUNTIFS(Details!$A$5:$A$1004,$A13,Details!$C$5:$C$1004,R$4,Details!$F$5:$F$1004,"X")&gt;0,"X",IF(COUNTIFS(Details!$A$5:$A$1004,$A13,Details!$C$5:$C$1004,R$4,Details!$F$5:$F$1004,"O")&gt;0,"O","해당없음"))))</x:f>
        <x:v>미실행</x:v>
      </x:c>
      <x:c r="S13" s="30" t="str">
        <x:f>IF($A13="","",IF(COUNTIFS(Details!$A$5:$A$1004,$A13,Details!$C$5:$C$1004,S$4)=0,"미실행",IF(COUNTIFS(Details!$A$5:$A$1004,$A13,Details!$C$5:$C$1004,S$4,Details!$F$5:$F$1004,"X")&gt;0,"X",IF(COUNTIFS(Details!$A$5:$A$1004,$A13,Details!$C$5:$C$1004,S$4,Details!$F$5:$F$1004,"O")&gt;0,"O","해당없음"))))</x:f>
        <x:v>미실행</x:v>
      </x:c>
      <x:c r="T13" s="30" t="str">
        <x:f>IF($A13="","",IF(COUNTIFS(Details!$A$5:$A$1004,$A13,Details!$C$5:$C$1004,T$4)=0,"미실행",IF(COUNTIFS(Details!$A$5:$A$1004,$A13,Details!$C$5:$C$1004,T$4,Details!$F$5:$F$1004,"X")&gt;0,"X",IF(COUNTIFS(Details!$A$5:$A$1004,$A13,Details!$C$5:$C$1004,T$4,Details!$F$5:$F$1004,"O")&gt;0,"O","해당없음"))))</x:f>
        <x:v>미실행</x:v>
      </x:c>
      <x:c r="U13" s="30" t="str">
        <x:f>IF($A13="","",IF(COUNTIFS(Details!$A$5:$A$1004,$A13,Details!$C$5:$C$1004,U$4)=0,"미실행",IF(COUNTIFS(Details!$A$5:$A$1004,$A13,Details!$C$5:$C$1004,U$4,Details!$F$5:$F$1004,"X")&gt;0,"X",IF(COUNTIFS(Details!$A$5:$A$1004,$A13,Details!$C$5:$C$1004,U$4,Details!$F$5:$F$1004,"O")&gt;0,"O","해당없음"))))</x:f>
        <x:v>미실행</x:v>
      </x:c>
      <x:c r="V13" s="30" t="str">
        <x:f>IF($A13="","",IF(COUNTIFS(Details!$A$5:$A$1004,$A13,Details!$C$5:$C$1004,V$4)=0,"미실행",IF(COUNTIFS(Details!$A$5:$A$1004,$A13,Details!$C$5:$C$1004,V$4,Details!$F$5:$F$1004,"X")&gt;0,"X",IF(COUNTIFS(Details!$A$5:$A$1004,$A13,Details!$C$5:$C$1004,V$4,Details!$F$5:$F$1004,"O")&gt;0,"O","해당없음"))))</x:f>
        <x:v>미실행</x:v>
      </x:c>
      <x:c r="W13" s="30" t="str">
        <x:f>IF($A13="","",IF(COUNTIFS(Details!$A$5:$A$1004,$A13,Details!$C$5:$C$1004,W$4)=0,"미실행",IF(COUNTIFS(Details!$A$5:$A$1004,$A13,Details!$C$5:$C$1004,W$4,Details!$F$5:$F$1004,"X")&gt;0,"X",IF(COUNTIFS(Details!$A$5:$A$1004,$A13,Details!$C$5:$C$1004,W$4,Details!$F$5:$F$1004,"O")&gt;0,"O","해당없음"))))</x:f>
        <x:v>미실행</x:v>
      </x:c>
      <x:c r="X13" s="30" t="str">
        <x:f>IF($A13="","",IF(COUNTIFS(Details!$A$5:$A$1004,$A13,Details!$C$5:$C$1004,X$4)=0,"미실행",IF(COUNTIFS(Details!$A$5:$A$1004,$A13,Details!$C$5:$C$1004,X$4,Details!$F$5:$F$1004,"X")&gt;0,"X",IF(COUNTIFS(Details!$A$5:$A$1004,$A13,Details!$C$5:$C$1004,X$4,Details!$F$5:$F$1004,"O")&gt;0,"O","해당없음"))))</x:f>
        <x:v>미실행</x:v>
      </x:c>
      <x:c r="Y13" s="30" t="str">
        <x:f>IF($A13="","",IF(COUNTIFS(Details!$A$5:$A$1004,$A13,Details!$C$5:$C$1004,Y$4)=0,"미실행",IF(COUNTIFS(Details!$A$5:$A$1004,$A13,Details!$C$5:$C$1004,Y$4,Details!$F$5:$F$1004,"X")&gt;0,"X",IF(COUNTIFS(Details!$A$5:$A$1004,$A13,Details!$C$5:$C$1004,Y$4,Details!$F$5:$F$1004,"O")&gt;0,"O","해당없음"))))</x:f>
        <x:v>미실행</x:v>
      </x:c>
      <x:c r="Z13" s="30" t="str">
        <x:f>IF($A13="","",IF(COUNTIFS(Details!$A$5:$A$1004,$A13,Details!$C$5:$C$1004,Z$4)=0,"미실행",IF(COUNTIFS(Details!$A$5:$A$1004,$A13,Details!$C$5:$C$1004,Z$4,Details!$F$5:$F$1004,"X")&gt;0,"X",IF(COUNTIFS(Details!$A$5:$A$1004,$A13,Details!$C$5:$C$1004,Z$4,Details!$F$5:$F$1004,"O")&gt;0,"O","해당없음"))))</x:f>
        <x:v>미실행</x:v>
      </x:c>
      <x:c r="AA13" s="30" t="str">
        <x:f>IF($A13="","",IF(COUNTIFS(Details!$A$5:$A$1004,$A13,Details!$C$5:$C$1004,AA$4)=0,"미실행",IF(COUNTIFS(Details!$A$5:$A$1004,$A13,Details!$C$5:$C$1004,AA$4,Details!$F$5:$F$1004,"X")&gt;0,"X",IF(COUNTIFS(Details!$A$5:$A$1004,$A13,Details!$C$5:$C$1004,AA$4,Details!$F$5:$F$1004,"O")&gt;0,"O","해당없음"))))</x:f>
        <x:v>미실행</x:v>
      </x:c>
      <x:c r="AB13" s="30" t="str">
        <x:f>IF($A13="","",IF(COUNTIFS(Details!$A$5:$A$1004,$A13,Details!$C$5:$C$1004,AB$4)=0,"미실행",IF(COUNTIFS(Details!$A$5:$A$1004,$A13,Details!$C$5:$C$1004,AB$4,Details!$F$5:$F$1004,"X")&gt;0,"X",IF(COUNTIFS(Details!$A$5:$A$1004,$A13,Details!$C$5:$C$1004,AB$4,Details!$F$5:$F$1004,"O")&gt;0,"O","해당없음"))))</x:f>
        <x:v>미실행</x:v>
      </x:c>
      <x:c r="AC13" s="30" t="str">
        <x:f>IF($A13="","",IF(COUNTIFS(Details!$A$5:$A$1004,$A13,Details!$C$5:$C$1004,AC$4)=0,"미실행",IF(COUNTIFS(Details!$A$5:$A$1004,$A13,Details!$C$5:$C$1004,AC$4,Details!$F$5:$F$1004,"X")&gt;0,"X",IF(COUNTIFS(Details!$A$5:$A$1004,$A13,Details!$C$5:$C$1004,AC$4,Details!$F$5:$F$1004,"O")&gt;0,"O","해당없음"))))</x:f>
        <x:v>미실행</x:v>
      </x:c>
      <x:c r="AD13" s="30" t="str">
        <x:f>IF($A13="","",IF(COUNTIFS(Details!$A$5:$A$1004,$A13,Details!$C$5:$C$1004,AD$4)=0,"미실행",IF(COUNTIFS(Details!$A$5:$A$1004,$A13,Details!$C$5:$C$1004,AD$4,Details!$F$5:$F$1004,"X")&gt;0,"X",IF(COUNTIFS(Details!$A$5:$A$1004,$A13,Details!$C$5:$C$1004,AD$4,Details!$F$5:$F$1004,"O")&gt;0,"O","해당없음"))))</x:f>
        <x:v>미실행</x:v>
      </x:c>
      <x:c r="AE13" s="30" t="str">
        <x:f>IF($A13="","",IF(COUNTIFS(Details!$A$5:$A$1004,$A13,Details!$C$5:$C$1004,AE$4)=0,"미실행",IF(COUNTIFS(Details!$A$5:$A$1004,$A13,Details!$C$5:$C$1004,AE$4,Details!$F$5:$F$1004,"X")&gt;0,"X",IF(COUNTIFS(Details!$A$5:$A$1004,$A13,Details!$C$5:$C$1004,AE$4,Details!$F$5:$F$1004,"O")&gt;0,"O","해당없음"))))</x:f>
        <x:v>미실행</x:v>
      </x:c>
      <x:c r="AF13" s="30" t="n">
        <x:f>COUNTIF(C13:AE13,"O")</x:f>
        <x:v>0</x:v>
      </x:c>
      <x:c r="AG13" s="30" t="n">
        <x:f>COUNTIF(C13:AE13,"X")</x:f>
        <x:v>0</x:v>
      </x:c>
      <x:c r="AH13" s="30" t="n">
        <x:f>COUNTIF(C13:AE13,"미실행")</x:f>
        <x:v>29</x:v>
      </x:c>
    </x:row>
  </x:sheetData>
  <x:mergeCells>
    <x:mergeCell ref="A1:AH1"/>
    <x:mergeCell ref="A2:AH2"/>
  </x:mergeCells>
  <x:conditionalFormatting sqref="C5:AE13">
    <x:cfRule type="cellIs" dxfId="3" priority="1" operator="equal">
      <x:formula>"O"</x:formula>
    </x:cfRule>
    <x:cfRule type="cellIs" dxfId="4" priority="2" operator="equal">
      <x:formula>"X"</x:formula>
    </x:cfRule>
    <x:cfRule type="containsText" dxfId="5" priority="3" operator="containsText" text="미실행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DC2626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" hidden="0" customWidth="1"/>
    <x:col min="2" max="2" width="34" hidden="0" customWidth="1"/>
    <x:col min="3" max="3" width="10" hidden="0" customWidth="1"/>
    <x:col min="4" max="4" width="15" hidden="0" customWidth="1"/>
    <x:col min="5" max="5" width="15" hidden="0" customWidth="1"/>
    <x:col min="6" max="6" width="15" hidden="0" customWidth="1"/>
    <x:col min="7" max="7" width="58" hidden="0" customWidth="1"/>
    <x:col min="8" max="8" width="14" hidden="0" customWidth="1"/>
    <x:col min="9" max="9" width="42" hidden="0" customWidth="1"/>
    <x:col min="10" max="10" width="42" hidden="0" customWidth="1"/>
    <x:col min="11" max="11" width="42" hidden="0" customWidth="1"/>
    <x:col min="12" max="12" width="14" hidden="0" customWidth="1"/>
    <x:col min="13" max="13" width="30" hidden="0" customWidth="1"/>
  </x:cols>
  <x:sheetData>
    <x:row r="1" ht="34" customHeight="1">
      <x:c r="A1" s="3" t="str">
        <x:v>로직별 상세 결과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4" customHeight="1">
      <x:c r="A2" s="7" t="str">
        <x:v>한 행은 한 문서의 한 로직 결과입니다. X 행은 판정사유, 근거 페이지, 기준 원문과 결과 원문을 함께 남겨 재현 가능하게 관리합니다.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2" customHeight="1">
      <x:c r="A4" s="13" t="str">
        <x:v>문서 ID</x:v>
      </x:c>
      <x:c r="B4" s="13" t="str">
        <x:v>PDF 파일</x:v>
      </x:c>
      <x:c r="C4" s="13" t="str">
        <x:v>로직 ID</x:v>
      </x:c>
      <x:c r="D4" s="13" t="str">
        <x:v>기대판정</x:v>
      </x:c>
      <x:c r="E4" s="13" t="str">
        <x:v>실제판정</x:v>
      </x:c>
      <x:c r="F4" s="13" t="str">
        <x:v>정답일치(O/X)</x:v>
      </x:c>
      <x:c r="G4" s="13" t="str">
        <x:v>판정사유</x:v>
      </x:c>
      <x:c r="H4" s="13" t="str">
        <x:v>근거 페이지</x:v>
      </x:c>
      <x:c r="I4" s="13" t="str">
        <x:v>기준 원문</x:v>
      </x:c>
      <x:c r="J4" s="13" t="str">
        <x:v>결과 원문</x:v>
      </x:c>
      <x:c r="K4" s="13" t="str">
        <x:v>추출값</x:v>
      </x:c>
      <x:c r="L4" s="13" t="str">
        <x:v>실행시간(초)</x:v>
      </x:c>
      <x:c r="M4" s="13" t="str">
        <x:v>비고</x:v>
      </x:c>
    </x:row>
    <x:row r="5">
      <x:c r="A5" s="17"/>
      <x:c r="B5" s="17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M5" s="17"/>
    </x:row>
    <x:row r="6">
      <x:c r="A6" s="17"/>
      <x:c r="B6" s="17"/>
      <x:c r="C6" s="17"/>
      <x:c r="D6" s="17"/>
      <x:c r="E6" s="17"/>
      <x:c r="F6" s="17"/>
      <x:c r="G6" s="17"/>
      <x:c r="H6" s="17"/>
      <x:c r="I6" s="17"/>
      <x:c r="J6" s="17"/>
      <x:c r="K6" s="17"/>
      <x:c r="L6" s="17"/>
      <x:c r="M6" s="17"/>
    </x:row>
    <x:row r="7">
      <x:c r="A7" s="17"/>
      <x:c r="B7" s="17"/>
      <x:c r="C7" s="17"/>
      <x:c r="D7" s="17"/>
      <x:c r="E7" s="17"/>
      <x:c r="F7" s="17"/>
      <x:c r="G7" s="17"/>
      <x:c r="H7" s="17"/>
      <x:c r="I7" s="17"/>
      <x:c r="J7" s="17"/>
      <x:c r="K7" s="17"/>
      <x:c r="L7" s="17"/>
      <x:c r="M7" s="17"/>
    </x:row>
    <x:row r="8">
      <x:c r="A8" s="17"/>
      <x:c r="B8" s="17"/>
      <x:c r="C8" s="17"/>
      <x:c r="D8" s="17"/>
      <x:c r="E8" s="17"/>
      <x:c r="F8" s="17"/>
      <x:c r="G8" s="17"/>
      <x:c r="H8" s="17"/>
      <x:c r="I8" s="17"/>
      <x:c r="J8" s="17"/>
      <x:c r="K8" s="17"/>
      <x:c r="L8" s="17"/>
      <x:c r="M8" s="17"/>
    </x:row>
    <x:row r="9">
      <x:c r="A9" s="17"/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</x:row>
    <x:row r="10">
      <x:c r="A10" s="17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</x:row>
    <x:row r="11">
      <x:c r="A11" s="17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  <x:c r="M11" s="17"/>
    </x:row>
    <x:row r="12">
      <x:c r="A12" s="17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  <x:c r="M12" s="17"/>
    </x:row>
    <x:row r="13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</x:row>
    <x:row r="14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</x:row>
  </x:sheetData>
  <x:mergeCells>
    <x:mergeCell ref="A1:M1"/>
    <x:mergeCell ref="A2:M2"/>
  </x:mergeCells>
  <x:conditionalFormatting sqref="F5:F54">
    <x:cfRule type="cellIs" dxfId="6" priority="1" operator="equal">
      <x:formula>"O"</x:formula>
    </x:cfRule>
    <x:cfRule type="cellIs" dxfId="7" priority="2" operator="equal">
      <x:formula>"X"</x:formula>
    </x:cfRule>
    <x:cfRule type="containsText" dxfId="8" priority="3" operator="containsText" text="미실행"/>
  </x:conditionalFormatting>
  <x:dataValidations count="3">
    <x:dataValidation type="list" sqref="C5:C54">
      <x:formula1>Implementation!$A$5:$A$33</x:formula1>
    </x:dataValidation>
    <x:dataValidation type="list" sqref="D5:E54">
      <x:formula1>"충족,불충족,보류,해당없음,미설정"</x:formula1>
    </x:dataValidation>
    <x:dataValidation type="list" sqref="F5:F54">
      <x:formula1>"O,X,미실행,해당없음"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64748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90" hidden="0" customWidth="1"/>
  </x:cols>
  <x:sheetData>
    <x:row r="1" ht="34" customHeight="1">
      <x:c r="A1" s="3" t="str">
        <x:v>회귀검증 실행 정보</x:v>
      </x:c>
      <x:c r="B1" s="3"/>
      <x:c r="C1" s="3"/>
      <x:c r="D1" s="3"/>
    </x:row>
    <x:row r="2" ht="34" customHeight="1">
      <x:c r="A2" s="7" t="str">
        <x:v>같은 문서와 같은 코드·로직 카탈로그로 결과를 재현할 수 있도록 생성 조건을 기록합니다.</x:v>
      </x:c>
      <x:c r="B2" s="7"/>
      <x:c r="C2" s="7"/>
      <x:c r="D2" s="7"/>
    </x:row>
    <x:row r="4" ht="32" customHeight="1">
      <x:c r="A4" s="13" t="str">
        <x:v>항목</x:v>
      </x:c>
      <x:c r="B4" s="13" t="str">
        <x:v>값</x:v>
      </x:c>
    </x:row>
    <x:row r="5">
      <x:c r="A5" s="38" t="str">
        <x:v>템플릿 버전</x:v>
      </x:c>
      <x:c r="B5" s="17" t="str">
        <x:v>1.0</x:v>
      </x:c>
    </x:row>
    <x:row r="6">
      <x:c r="A6" s="38" t="str">
        <x:v>생성 시각</x:v>
      </x:c>
      <x:c r="B6" s="37" t="n">
        <x:v>46271.41466751158</x:v>
      </x:c>
    </x:row>
    <x:row r="7">
      <x:c r="A7" s="38" t="str">
        <x:v>카탈로그 버전</x:v>
      </x:c>
      <x:c r="B7" s="17" t="str">
        <x:v>1.0</x:v>
      </x:c>
    </x:row>
    <x:row r="8">
      <x:c r="A8" s="38" t="str">
        <x:v>카탈로그 기준일</x:v>
      </x:c>
      <x:c r="B8" s="17" t="str">
        <x:v>2026-09-06</x:v>
      </x:c>
    </x:row>
    <x:row r="9">
      <x:c r="A9" s="38" t="str">
        <x:v>카탈로그 SHA-256</x:v>
      </x:c>
      <x:c r="B9" s="17" t="str">
        <x:v>94160983d26fcdb48b6ed41a9df4b5d16fa7136066363d43e9984259f1be4b20</x:v>
      </x:c>
    </x:row>
    <x:row r="10">
      <x:c r="A10" s="38" t="str">
        <x:v>전체 로직 수</x:v>
      </x:c>
      <x:c r="B10" s="17" t="n">
        <x:v>29</x:v>
      </x:c>
    </x:row>
    <x:row r="11">
      <x:c r="A11" s="38" t="str">
        <x:v>구현</x:v>
      </x:c>
      <x:c r="B11" s="17" t="n">
        <x:v>14</x:v>
      </x:c>
    </x:row>
    <x:row r="12">
      <x:c r="A12" s="38" t="str">
        <x:v>부분 구현</x:v>
      </x:c>
      <x:c r="B12" s="17" t="n">
        <x:v>10</x:v>
      </x:c>
    </x:row>
    <x:row r="13">
      <x:c r="A13" s="38" t="str">
        <x:v>미구현</x:v>
      </x:c>
      <x:c r="B13" s="17" t="n">
        <x:v>5</x:v>
      </x:c>
    </x:row>
    <x:row r="14">
      <x:c r="A14" s="38" t="str">
        <x:v>등록 문서 수</x:v>
      </x:c>
      <x:c r="B14" s="17" t="n">
        <x:v>9</x:v>
      </x:c>
    </x:row>
    <x:row r="15">
      <x:c r="A15" s="38" t="str">
        <x:v>상세 결과 수</x:v>
      </x:c>
      <x:c r="B15" s="17" t="n">
        <x:v>0</x:v>
      </x:c>
    </x:row>
    <x:row r="16">
      <x:c r="A16" s="38" t="str">
        <x:v>입력 데이터</x:v>
      </x:c>
      <x:c r="B16" s="17" t="str">
        <x:v>기본 템플릿</x:v>
      </x:c>
    </x:row>
    <x:row r="17">
      <x:c r="A17" s="38" t="str">
        <x:v>상세결과 JSON 필드</x:v>
      </x:c>
      <x:c r="B17" s="17" t="str">
        <x:v>document_id, pdf_file, rule_id, expected_status, actual_status, reason, evidence_page, criteria_text, result_text, extracted_value, elapsed_seconds, note</x:v>
      </x:c>
    </x:row>
  </x:sheetData>
  <x:mergeCells>
    <x:mergeCell ref="A1:D1"/>
    <x:mergeCell ref="A2:D2"/>
  </x:mergeCells>
  <x:pageMargins left="0.7" right="0.7" top="0.75" bottom="0.75" header="0.3" footer="0.3"/>
</x:worksheet>
</file>